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e" sheetId="1" state="visible" r:id="rId1"/>
    <sheet xmlns:r="http://schemas.openxmlformats.org/officeDocument/2006/relationships" name="Fundamentals" sheetId="2" state="visible" r:id="rId2"/>
    <sheet xmlns:r="http://schemas.openxmlformats.org/officeDocument/2006/relationships" name="Trends" sheetId="3" state="visible" r:id="rId3"/>
    <sheet xmlns:r="http://schemas.openxmlformats.org/officeDocument/2006/relationships" name="Landscape" sheetId="4" state="visible" r:id="rId4"/>
    <sheet xmlns:r="http://schemas.openxmlformats.org/officeDocument/2006/relationships" name="Capital" sheetId="5" state="visible" r:id="rId5"/>
    <sheet xmlns:r="http://schemas.openxmlformats.org/officeDocument/2006/relationships" name="Incumbents" sheetId="6" state="visible" r:id="rId6"/>
    <sheet xmlns:r="http://schemas.openxmlformats.org/officeDocument/2006/relationships" name="Policy" sheetId="7" state="visible" r:id="rId7"/>
    <sheet xmlns:r="http://schemas.openxmlformats.org/officeDocument/2006/relationships" name="Risks" sheetId="8" state="visible" r:id="rId8"/>
    <sheet xmlns:r="http://schemas.openxmlformats.org/officeDocument/2006/relationships" name="Sourc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b val="1"/>
      <color rgb="008C1515"/>
      <sz val="16"/>
    </font>
    <font>
      <name val="Georgia"/>
      <i val="1"/>
      <color rgb="002E2D29"/>
      <sz val="11"/>
    </font>
    <font>
      <name val="Georgia"/>
      <b val="1"/>
      <color rgb="00FFFFFF"/>
      <sz val="11"/>
    </font>
    <font>
      <name val="Calibri"/>
      <b val="1"/>
      <color rgb="00FFFFFF"/>
      <sz val="10"/>
    </font>
    <font>
      <name val="Calibri"/>
      <color rgb="002E2D29"/>
      <sz val="10"/>
    </font>
  </fonts>
  <fills count="4">
    <fill>
      <patternFill/>
    </fill>
    <fill>
      <patternFill patternType="gray125"/>
    </fill>
    <fill>
      <patternFill patternType="solid">
        <fgColor rgb="008C1515"/>
      </patternFill>
    </fill>
    <fill>
      <patternFill patternType="solid">
        <fgColor rgb="00F7F3E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Geothermal net generation, California and Nevada, MWh</a:t>
            </a:r>
          </a:p>
        </rich>
      </tx>
    </title>
    <plotArea>
      <lineChart>
        <grouping val="standard"/>
        <ser>
          <idx val="0"/>
          <order val="0"/>
          <tx>
            <strRef>
              <f>'Trends'!C29</f>
            </strRef>
          </tx>
          <spPr>
            <a:solidFill xmlns:a="http://schemas.openxmlformats.org/drawingml/2006/main">
              <a:srgbClr val="8C1515"/>
            </a:solidFill>
            <a:ln xmlns:a="http://schemas.openxmlformats.org/drawingml/2006/main">
              <a:solidFill>
                <a:srgbClr val="8C1515"/>
              </a:solidFill>
              <a:prstDash val="solid"/>
            </a:ln>
          </spPr>
          <marker>
            <symbol val="none"/>
            <spPr>
              <a:ln xmlns:a="http://schemas.openxmlformats.org/drawingml/2006/main">
                <a:prstDash val="solid"/>
              </a:ln>
            </spPr>
          </marker>
          <cat>
            <numRef>
              <f>'Trends'!$B$30:$B$36</f>
            </numRef>
          </cat>
          <val>
            <numRef>
              <f>'Trends'!$C$30:$C$36</f>
            </numRef>
          </val>
        </ser>
        <ser>
          <idx val="1"/>
          <order val="1"/>
          <tx>
            <strRef>
              <f>'Trends'!D29</f>
            </strRef>
          </tx>
          <spPr>
            <a:solidFill xmlns:a="http://schemas.openxmlformats.org/drawingml/2006/main">
              <a:srgbClr val="007C92"/>
            </a:solidFill>
            <a:ln xmlns:a="http://schemas.openxmlformats.org/drawingml/2006/main">
              <a:solidFill>
                <a:srgbClr val="007C92"/>
              </a:solidFill>
              <a:prstDash val="solid"/>
            </a:ln>
          </spPr>
          <marker>
            <symbol val="none"/>
            <spPr>
              <a:ln xmlns:a="http://schemas.openxmlformats.org/drawingml/2006/main">
                <a:prstDash val="solid"/>
              </a:ln>
            </spPr>
          </marker>
          <cat>
            <numRef>
              <f>'Trends'!$B$30:$B$36</f>
            </numRef>
          </cat>
          <val>
            <numRef>
              <f>'Trends'!$D$30:$D$36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36</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26"/>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Scope</t>
        </is>
      </c>
    </row>
    <row r="2">
      <c r="B2" s="2" t="inlineStr">
        <is>
          <t>subsurface heat mapping for geothermal</t>
        </is>
      </c>
    </row>
    <row r="4" ht="20" customHeight="1">
      <c r="B4" s="3" t="inlineStr">
        <is>
          <t>(1) DEFINITION</t>
        </is>
      </c>
    </row>
    <row r="5" ht="30" customHeight="1">
      <c r="B5" s="4" t="inlineStr">
        <is>
          <r>
            <rPr>
              <rFont val="Calibri"/>
              <b val="1"/>
              <color rgb="002E2D29"/>
              <sz val="10"/>
            </rPr>
            <t xml:space="preserve">Fact: </t>
          </r>
          <r>
            <rPr>
              <rFont val="Calibri"/>
              <color rgb="002E2D29"/>
              <sz val="10"/>
            </rPr>
            <t>Subsurface heat mapping for geothermal means estimating where and how hot the rock is, and where fluid can flow, before a well is drilled. The output is a favorability map, a temperature model or a ranked list of drill targets.</t>
          </r>
        </is>
      </c>
    </row>
    <row r="6" ht="30" customHeight="1">
      <c r="B6" s="4" t="inlineStr">
        <is>
          <r>
            <rPr>
              <rFont val="Calibri"/>
              <b val="1"/>
              <i val="1"/>
              <color rgb="00808080"/>
              <sz val="10"/>
            </rPr>
            <t xml:space="preserve">Source(s): </t>
          </r>
          <r>
            <rPr>
              <rFont val="Calibri"/>
              <i val="1"/>
              <color rgb="00808080"/>
              <sz val="10"/>
            </rPr>
            <t>S42 Exploration and Characterization | Department of Energy; S41 Hidden Systems | Department of Energy; S21 Geothermal resource favorability: select features and predic; S22 Data Estimating Enhanced Geothermal Systems (EGS) Electric-R</t>
          </r>
        </is>
      </c>
    </row>
    <row r="8" ht="20" customHeight="1">
      <c r="B8" s="3" t="inlineStr">
        <is>
          <t>(2) VALUE CHAIN</t>
        </is>
      </c>
    </row>
    <row r="9">
      <c r="B9" s="5" t="inlineStr">
        <is>
          <t>Stage</t>
        </is>
      </c>
      <c r="C9" s="5" t="inlineStr">
        <is>
          <t>What happens</t>
        </is>
      </c>
    </row>
    <row r="10">
      <c r="B10" s="6" t="inlineStr">
        <is>
          <t>Inputs, public data</t>
        </is>
      </c>
      <c r="C10" s="6" t="inlineStr">
        <is>
          <t>The USGS publishes a three-dimensional temperature model of the Great Basin and a geothermal resource favorability dataset built with machine learning. It is also updating its 2008 assessment of conventional hydrothermal resources.</t>
        </is>
      </c>
    </row>
    <row r="11">
      <c r="B11" s="7" t="inlineStr">
        <is>
          <t>Inputs, method</t>
        </is>
      </c>
      <c r="C11" s="7" t="inlineStr">
        <is>
          <t>The DOE has funded Play Fairway Analysis, a technique adapted from oil and gas that identifies hidden hydrothermal systems from regional geologic factors.</t>
        </is>
      </c>
    </row>
    <row r="12">
      <c r="B12" s="6" t="inlineStr">
        <is>
          <t>Model and target selection</t>
        </is>
      </c>
      <c r="C12" s="6" t="inlineStr">
        <is>
          <t>Zanskar uses custom-built AI to find hidden geothermal systems. Project InnerSpace offers GeoMap, a free exploration tool with 150+ layers of subsurface and surface data for North America.</t>
        </is>
      </c>
    </row>
    <row r="13">
      <c r="B13" s="7" t="inlineStr">
        <is>
          <t>Confirmation drilling</t>
        </is>
      </c>
      <c r="C13" s="7" t="inlineStr">
        <is>
          <t>Zanskar reports that Big Blind in Nevada is the first blind geothermal system identified and confirmed commercial in the U.S. by industry in over 30 years. This is a company claim.</t>
        </is>
      </c>
    </row>
    <row r="14">
      <c r="B14" s="6" t="inlineStr">
        <is>
          <t>Development and power sale</t>
        </is>
      </c>
      <c r="C14" s="6" t="inlineStr">
        <is>
          <t>Zanskar says it will use its Series C for AI platform expansion, more exploration drilling and power plant construction.</t>
        </is>
      </c>
    </row>
    <row r="15">
      <c r="B15" s="7" t="inlineStr">
        <is>
          <t>Customers</t>
        </is>
      </c>
      <c r="C15" s="7" t="inlineStr">
        <is>
          <t>The buyer is a utility or large power buyer. The warehouse holds two geothermal deal rows: a power purchase agreement and an equity raise. Neither row is a mapping deal.</t>
        </is>
      </c>
    </row>
    <row r="16" ht="105" customHeight="1">
      <c r="B16" s="4" t="inlineStr">
        <is>
          <r>
            <rPr>
              <rFont val="Calibri"/>
              <b val="1"/>
              <i val="1"/>
              <color rgb="00808080"/>
              <sz val="10"/>
            </rPr>
            <t xml:space="preserve">Source(s): </t>
          </r>
          <r>
            <rPr>
              <rFont val="Calibri"/>
              <i val="1"/>
              <color rgb="00808080"/>
              <sz val="10"/>
            </rPr>
            <t>S22 Data Estimating Enhanced Geothermal Systems (EGS) Electric-R; S21 Geothermal resource favorability: select features and predic; S20 Geothermal Resource Investigations Project | U.S. Geological; S42 Exploration and Characterization | Department of Energy; S5 Zanskar raises $115M Series C following record-setting year ; S62 Project InnerSpace's GeoMap; S106 Project InnerSpace launches GeoMap Beta geothermal explorati; S13 Zanskar Reveals 'Big Blind' - The Discovery of the First ...; S17 Zanskar Reveals ‘Big Blind’ - The Discovery of the First Bli; S1 Zanskar Raises $115 Million to Scale AI-Driven Geothermal Di; S2 Zanskar raises $115M to support expansion of AI-based geothe; E13 ERW table energy_deals; E22 ERW table energy_deals</t>
          </r>
        </is>
      </c>
    </row>
    <row r="18" ht="20" customHeight="1">
      <c r="B18" s="3" t="inlineStr">
        <is>
          <t>(3) ADJACENT NICHES EXCLUDED</t>
        </is>
      </c>
    </row>
    <row r="19">
      <c r="B19" s="5" t="inlineStr">
        <is>
          <t>Niche</t>
        </is>
      </c>
      <c r="C19" s="5" t="inlineStr">
        <is>
          <t>Why it is out of scope</t>
        </is>
      </c>
    </row>
    <row r="20">
      <c r="B20" s="6" t="inlineStr">
        <is>
          <t>Drilling technology, including advanced and deep drilling</t>
        </is>
      </c>
      <c r="C20" s="6" t="inlineStr">
        <is>
          <t>Drilling comes after mapping. It is a separate niche.</t>
        </is>
      </c>
    </row>
    <row r="21">
      <c r="B21" s="7" t="inlineStr">
        <is>
          <t>Enhanced geothermal systems plant development, for example Fervo's Cape Station</t>
        </is>
      </c>
      <c r="C21" s="7" t="inlineStr">
        <is>
          <t>Plant development is downstream of mapping. Cape Station figures appear only as context for demand for de-risked sites.</t>
        </is>
      </c>
    </row>
    <row r="22">
      <c r="B22" s="6" t="inlineStr">
        <is>
          <t>Power plant equipment</t>
        </is>
      </c>
      <c r="C22" s="6" t="inlineStr">
        <is>
          <t>Equipment is not mapping.</t>
        </is>
      </c>
    </row>
    <row r="23">
      <c r="B23" s="7" t="inlineStr">
        <is>
          <t>Geothermal heat for district heating</t>
        </is>
      </c>
      <c r="C23" s="7" t="inlineStr">
        <is>
          <t>Different product and customer.</t>
        </is>
      </c>
    </row>
    <row r="24">
      <c r="B24" s="6" t="inlineStr">
        <is>
          <t>Generic geophysical survey contractors and oil and gas subsurface software</t>
        </is>
      </c>
      <c r="C24" s="6" t="inlineStr">
        <is>
          <t>Not geothermal-specific.</t>
        </is>
      </c>
    </row>
    <row r="25">
      <c r="B25" s="7" t="inlineStr">
        <is>
          <t>Whole-company deals for developers</t>
        </is>
      </c>
      <c r="C25" s="7" t="inlineStr">
        <is>
          <t>A developer is in scope only where mapping is its stated edge, as with Zanskar.</t>
        </is>
      </c>
    </row>
    <row r="26" ht="30" customHeight="1">
      <c r="B26" s="4" t="inlineStr">
        <is>
          <r>
            <rPr>
              <rFont val="Calibri"/>
              <b val="1"/>
              <i val="1"/>
              <color rgb="00808080"/>
              <sz val="10"/>
            </rPr>
            <t xml:space="preserve">Built: </t>
          </r>
          <r>
            <rPr>
              <rFont val="Calibri"/>
              <i val="1"/>
              <color rgb="00808080"/>
              <sz val="10"/>
            </rPr>
            <t>2026-09-30 00:02 UTC by warehouse/thesis/build.py, run 20260930T000038Z; 16 model calls (claude-sonnet-5-5), 37 web searches, USD 1.3237, 1.4 minutes. Numbers not found in a cited source are written as not confirmed.</t>
          </r>
        </is>
      </c>
    </row>
  </sheetData>
  <mergeCells count="7">
    <mergeCell ref="B18:I18"/>
    <mergeCell ref="B6:I6"/>
    <mergeCell ref="B16:I16"/>
    <mergeCell ref="B5:I5"/>
    <mergeCell ref="B8:I8"/>
    <mergeCell ref="B4:I4"/>
    <mergeCell ref="B26:I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I18"/>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Fundamentals</t>
        </is>
      </c>
    </row>
    <row r="2">
      <c r="B2" s="2" t="inlineStr">
        <is>
          <t>subsurface heat mapping for geothermal</t>
        </is>
      </c>
    </row>
    <row r="4" ht="20" customHeight="1">
      <c r="B4" s="3" t="inlineStr">
        <is>
          <t>(1) THE FRAMING NUMBERS</t>
        </is>
      </c>
    </row>
    <row r="5" ht="30" customHeight="1">
      <c r="B5" s="4" t="inlineStr">
        <is>
          <r>
            <rPr>
              <rFont val="Calibri"/>
              <b val="1"/>
              <color rgb="002E2D29"/>
              <sz val="10"/>
            </rPr>
            <t xml:space="preserve">Fact: </t>
          </r>
          <r>
            <rPr>
              <rFont val="Calibri"/>
              <color rgb="002E2D29"/>
              <sz val="10"/>
            </rPr>
            <t>The US has 4049.2 MW of operating geothermal capacity, 95.1% of it in California and Nevada, with 157.3 MW planned. ERW found no market size for mapping services and no exploration cost per project. (not confirmed: 4049.2, 95.1, 157.3)</t>
          </r>
        </is>
      </c>
    </row>
    <row r="6">
      <c r="B6" s="5" t="inlineStr">
        <is>
          <t>Metric</t>
        </is>
      </c>
      <c r="C6" s="5" t="inlineStr">
        <is>
          <t>Value</t>
        </is>
      </c>
      <c r="D6" s="5" t="inlineStr">
        <is>
          <t>Unit</t>
        </is>
      </c>
      <c r="E6" s="5" t="inlineStr">
        <is>
          <t>As of</t>
        </is>
      </c>
      <c r="F6" s="5" t="inlineStr">
        <is>
          <t>Source</t>
        </is>
      </c>
    </row>
    <row r="7">
      <c r="B7" s="6" t="inlineStr">
        <is>
          <t>Operating US geothermal nameplate capacity</t>
        </is>
      </c>
      <c r="C7" s="6" t="inlineStr">
        <is>
          <t>not confirmed (estimate: Sum of state values: 2935.5 + 51.0 + 16.0 + 19.2 + 913.7 + 36.7 + 77.1 = 4049.2 (163 generators) (not confirmed: 4049.2))</t>
        </is>
      </c>
      <c r="D7" s="6" t="inlineStr">
        <is>
          <t>MW</t>
        </is>
      </c>
      <c r="E7" s="6" t="inlineStr">
        <is>
          <t>2026-09-26</t>
        </is>
      </c>
      <c r="F7" s="6" t="inlineStr">
        <is>
          <t>E6 (ERW)</t>
        </is>
      </c>
    </row>
    <row r="8">
      <c r="B8" s="7" t="inlineStr">
        <is>
          <t>Operating geothermal nameplate, California</t>
        </is>
      </c>
      <c r="C8" s="7" t="inlineStr">
        <is>
          <t>2935.5</t>
        </is>
      </c>
      <c r="D8" s="7" t="inlineStr">
        <is>
          <t>MW</t>
        </is>
      </c>
      <c r="E8" s="7" t="inlineStr">
        <is>
          <t>2026-09-26</t>
        </is>
      </c>
      <c r="F8" s="7" t="inlineStr">
        <is>
          <t>E6 (ERW)</t>
        </is>
      </c>
    </row>
    <row r="9">
      <c r="B9" s="6" t="inlineStr">
        <is>
          <t>Operating geothermal nameplate, Nevada</t>
        </is>
      </c>
      <c r="C9" s="6" t="inlineStr">
        <is>
          <t>913.7</t>
        </is>
      </c>
      <c r="D9" s="6" t="inlineStr">
        <is>
          <t>MW</t>
        </is>
      </c>
      <c r="E9" s="6" t="inlineStr">
        <is>
          <t>2026-09-26</t>
        </is>
      </c>
      <c r="F9" s="6" t="inlineStr">
        <is>
          <t>E6 (ERW)</t>
        </is>
      </c>
    </row>
    <row r="10">
      <c r="B10" s="7" t="inlineStr">
        <is>
          <t>California plus Nevada share of operating geothermal capacity</t>
        </is>
      </c>
      <c r="C10" s="7" t="inlineStr">
        <is>
          <t>not confirmed (estimate: (2935.5 + 913.7) / 4049.2 = 3849.2 / 4049.2 = 95.1% (not confirmed: 4049.2, 3849.2, 95.1))</t>
        </is>
      </c>
      <c r="D10" s="7" t="inlineStr">
        <is>
          <t>percent</t>
        </is>
      </c>
      <c r="E10" s="7" t="inlineStr">
        <is>
          <t>2026-09-26</t>
        </is>
      </c>
      <c r="F10" s="7" t="inlineStr">
        <is>
          <t>E6 (ERW)</t>
        </is>
      </c>
    </row>
    <row r="11">
      <c r="B11" s="6" t="inlineStr">
        <is>
          <t>Planned US geothermal capacity</t>
        </is>
      </c>
      <c r="C11" s="6" t="inlineStr">
        <is>
          <t>not confirmed (estimate: Utah 130.8 + Nevada 26.5 = 157.3 (9 units) (not confirmed: 157.3))</t>
        </is>
      </c>
      <c r="D11" s="6" t="inlineStr">
        <is>
          <t>MW</t>
        </is>
      </c>
      <c r="E11" s="6" t="inlineStr">
        <is>
          <t>2026-09-26</t>
        </is>
      </c>
      <c r="F11" s="6" t="inlineStr">
        <is>
          <t>E7 (ERW)</t>
        </is>
      </c>
    </row>
    <row r="12">
      <c r="B12" s="7" t="inlineStr">
        <is>
          <t>Planned capacity as share of operating capacity</t>
        </is>
      </c>
      <c r="C12" s="7" t="inlineStr">
        <is>
          <t>not confirmed (estimate: not confirmed)</t>
        </is>
      </c>
      <c r="D12" s="7" t="inlineStr">
        <is>
          <t>percent</t>
        </is>
      </c>
      <c r="E12" s="7" t="inlineStr">
        <is>
          <t>2026-09-26</t>
        </is>
      </c>
      <c r="F12" s="7" t="inlineStr">
        <is>
          <t>E6, E7 (ERW)</t>
        </is>
      </c>
    </row>
    <row r="13">
      <c r="B13" s="6" t="inlineStr">
        <is>
          <t>California geothermal net generation, 2025</t>
        </is>
      </c>
      <c r="C13" s="6" t="inlineStr">
        <is>
          <t>10746514.85</t>
        </is>
      </c>
      <c r="D13" s="6" t="inlineStr">
        <is>
          <t>MWh</t>
        </is>
      </c>
      <c r="E13" s="6" t="inlineStr">
        <is>
          <t>2025</t>
        </is>
      </c>
      <c r="F13" s="6" t="inlineStr">
        <is>
          <t>E8 (ERW)</t>
        </is>
      </c>
    </row>
    <row r="14">
      <c r="B14" s="7" t="inlineStr">
        <is>
          <t>Nevada geothermal net generation, 2025</t>
        </is>
      </c>
      <c r="C14" s="7" t="inlineStr">
        <is>
          <t>3874637.95</t>
        </is>
      </c>
      <c r="D14" s="7" t="inlineStr">
        <is>
          <t>MWh</t>
        </is>
      </c>
      <c r="E14" s="7" t="inlineStr">
        <is>
          <t>2025</t>
        </is>
      </c>
      <c r="F14" s="7" t="inlineStr">
        <is>
          <t>E10 (ERW)</t>
        </is>
      </c>
    </row>
    <row r="15">
      <c r="B15" s="6" t="inlineStr">
        <is>
          <t>Zanskar Series C</t>
        </is>
      </c>
      <c r="C15" s="6" t="inlineStr">
        <is>
          <t>115 million</t>
        </is>
      </c>
      <c r="D15" s="6" t="inlineStr">
        <is>
          <t>USD</t>
        </is>
      </c>
      <c r="E15" s="6" t="inlineStr">
        <is>
          <t>2026-01-21</t>
        </is>
      </c>
      <c r="F15" s="6" t="inlineStr">
        <is>
          <t>S1, S140</t>
        </is>
      </c>
    </row>
    <row r="16">
      <c r="B16" s="7" t="inlineStr">
        <is>
          <t>Zanskar total equity raised</t>
        </is>
      </c>
      <c r="C16" s="7" t="inlineStr">
        <is>
          <t>not confirmed</t>
        </is>
      </c>
      <c r="D16" s="7" t="inlineStr">
        <is>
          <t>USD</t>
        </is>
      </c>
      <c r="E16" s="7" t="inlineStr">
        <is>
          <t>2026-01-21</t>
        </is>
      </c>
      <c r="F16" s="7" t="inlineStr">
        <is>
          <t>S1</t>
        </is>
      </c>
    </row>
    <row r="17">
      <c r="B17" s="6" t="inlineStr">
        <is>
          <t>DOE funding opportunity for geothermal field tests and resource characterization</t>
        </is>
      </c>
      <c r="C17" s="6" t="inlineStr">
        <is>
          <t>171.5 million</t>
        </is>
      </c>
      <c r="D17" s="6" t="inlineStr">
        <is>
          <t>USD</t>
        </is>
      </c>
      <c r="E17" s="6" t="inlineStr">
        <is>
          <t>2026-02-25</t>
        </is>
      </c>
      <c r="F17" s="6" t="inlineStr">
        <is>
          <t>S154, S153</t>
        </is>
      </c>
    </row>
    <row r="18" ht="60" customHeight="1">
      <c r="B18" s="4" t="inlineStr">
        <is>
          <r>
            <rPr>
              <rFont val="Calibri"/>
              <b val="1"/>
              <i val="1"/>
              <color rgb="00808080"/>
              <sz val="10"/>
            </rPr>
            <t xml:space="preserve">Source(s): </t>
          </r>
          <r>
            <rPr>
              <rFont val="Calibri"/>
              <i val="1"/>
              <color rgb="00808080"/>
              <sz val="10"/>
            </rPr>
            <t>E6 ERW table eia860m_operating_generators; E7 ERW table eia860m_planned_generators; E8 ERW table eia_state_generation_monthly; E10 ERW table eia_state_generation_monthly; S1 Zanskar Raises $115 Million to Scale AI-Driven Geothermal Di; S140 Zanskar raises $115M Series C Following Record-Setting Year ; S154 Energy Department Announces $171.5 Million To Expand U.S. Ge; S153 Funding Notice: Next-Generation Geothermal Field Tests and G</t>
          </r>
        </is>
      </c>
    </row>
  </sheetData>
  <mergeCells count="3">
    <mergeCell ref="B18:I18"/>
    <mergeCell ref="B5:I5"/>
    <mergeCell ref="B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61"/>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Trends</t>
        </is>
      </c>
    </row>
    <row r="2">
      <c r="B2" s="2" t="inlineStr">
        <is>
          <t>subsurface heat mapping for geothermal</t>
        </is>
      </c>
    </row>
    <row r="4" ht="20" customHeight="1">
      <c r="B4" s="3" t="inlineStr">
        <is>
          <t>(1) CAPITAL IS FLOWING TO AI-LED EXPLORERS</t>
        </is>
      </c>
    </row>
    <row r="5" ht="30" customHeight="1">
      <c r="B5" s="4" t="inlineStr">
        <is>
          <r>
            <rPr>
              <rFont val="Calibri"/>
              <b val="1"/>
              <color rgb="002E2D29"/>
              <sz val="10"/>
            </rPr>
            <t xml:space="preserve">Fact: </t>
          </r>
          <r>
            <rPr>
              <rFont val="Calibri"/>
              <color rgb="002E2D29"/>
              <sz val="10"/>
            </rPr>
            <t>Zanskar raised a 115 million USD Series C led by Spring Lane Capital, bringing total equity raised to 180 million USD. The warehouse shows no mapping-specific deal; its only geothermal equity row is Fervo's IPO. (not confirmed: 180)</t>
          </r>
        </is>
      </c>
    </row>
    <row r="6">
      <c r="B6" s="5" t="inlineStr">
        <is>
          <t>Company</t>
        </is>
      </c>
      <c r="C6" s="5" t="inlineStr">
        <is>
          <t>Round</t>
        </is>
      </c>
      <c r="D6" s="5" t="inlineStr">
        <is>
          <t>Amount (USD)</t>
        </is>
      </c>
      <c r="E6" s="5" t="inlineStr">
        <is>
          <t>Lead</t>
        </is>
      </c>
      <c r="F6" s="5" t="inlineStr">
        <is>
          <t>Date</t>
        </is>
      </c>
    </row>
    <row r="7">
      <c r="B7" s="6" t="inlineStr">
        <is>
          <t>Zanskar</t>
        </is>
      </c>
      <c r="C7" s="6" t="inlineStr">
        <is>
          <t>Series C</t>
        </is>
      </c>
      <c r="D7" s="6" t="inlineStr">
        <is>
          <t>115 million</t>
        </is>
      </c>
      <c r="E7" s="6" t="inlineStr">
        <is>
          <t>Spring Lane Capital</t>
        </is>
      </c>
      <c r="F7" s="6" t="inlineStr">
        <is>
          <t>not confirmed</t>
        </is>
      </c>
    </row>
    <row r="8">
      <c r="B8" s="7" t="inlineStr">
        <is>
          <t>Bedrock Energy</t>
        </is>
      </c>
      <c r="C8" s="7" t="inlineStr">
        <is>
          <t>Series A</t>
        </is>
      </c>
      <c r="D8" s="7" t="inlineStr">
        <is>
          <t>12 million</t>
        </is>
      </c>
      <c r="E8" s="7" t="inlineStr">
        <is>
          <t>Titanium Ventures</t>
        </is>
      </c>
      <c r="F8" s="7" t="inlineStr">
        <is>
          <t>not confirmed</t>
        </is>
      </c>
    </row>
    <row r="9">
      <c r="B9" s="6" t="inlineStr">
        <is>
          <t>Ignis H2 Energy</t>
        </is>
      </c>
      <c r="C9" s="6" t="inlineStr">
        <is>
          <t>Series A</t>
        </is>
      </c>
      <c r="D9" s="6" t="inlineStr">
        <is>
          <t>12.5 million</t>
        </is>
      </c>
      <c r="E9" s="6" t="inlineStr">
        <is>
          <t>not disclosed</t>
        </is>
      </c>
      <c r="F9" s="6" t="inlineStr">
        <is>
          <t>not disclosed</t>
        </is>
      </c>
    </row>
    <row r="10" ht="45" customHeight="1">
      <c r="B10" s="4" t="inlineStr">
        <is>
          <r>
            <rPr>
              <rFont val="Calibri"/>
              <b val="1"/>
              <i val="1"/>
              <color rgb="00808080"/>
              <sz val="10"/>
            </rPr>
            <t xml:space="preserve">Source(s): </t>
          </r>
          <r>
            <rPr>
              <rFont val="Calibri"/>
              <i val="1"/>
              <color rgb="00808080"/>
              <sz val="10"/>
            </rPr>
            <t>S1 Zanskar Raises $115 Million to Scale AI-Driven Geothermal Di; S140 Zanskar raises $115M Series C Following Record-Setting Year ; S112 Bedrock Energy Raises $12M Series A to Scale Geothermal Heat; S199 Geothermal Startup Ignis Energy Raises $12.5 Million - ESG T; E26 ERW table energy_deals</t>
          </r>
        </is>
      </c>
    </row>
    <row r="12" ht="20" customHeight="1">
      <c r="B12" s="3" t="inlineStr">
        <is>
          <t>(2) FEDERAL MONEY IS AIMED AT PROSPECT CHARACTERIZATION</t>
        </is>
      </c>
    </row>
    <row r="13" ht="45" customHeight="1">
      <c r="B13" s="4" t="inlineStr">
        <is>
          <r>
            <rPr>
              <rFont val="Calibri"/>
              <b val="1"/>
              <color rgb="002E2D29"/>
              <sz val="10"/>
            </rPr>
            <t xml:space="preserve">Fact: </t>
          </r>
          <r>
            <rPr>
              <rFont val="Calibri"/>
              <color rgb="002E2D29"/>
              <sz val="10"/>
            </rPr>
            <t>On 2026-02-25 DOE announced up to 171.5 million USD, of which up to 71.5 million USD supports characterization and possible confirmation of prospects. DOE selected 21 projects for more than 99 million USD on 2026-09-21: five EGS field tests and 16 earlier-stage resource characterization projects. (not confirmed: 2026, 2, 25, 71.5)</t>
          </r>
        </is>
      </c>
    </row>
    <row r="14">
      <c r="B14" s="5" t="inlineStr">
        <is>
          <t>Item</t>
        </is>
      </c>
      <c r="C14" s="5" t="inlineStr">
        <is>
          <t>Value</t>
        </is>
      </c>
      <c r="D14" s="5" t="inlineStr">
        <is>
          <t>Date</t>
        </is>
      </c>
    </row>
    <row r="15">
      <c r="B15" s="6" t="inlineStr">
        <is>
          <t>Funding opportunity announced</t>
        </is>
      </c>
      <c r="C15" s="6" t="inlineStr">
        <is>
          <t>up to 171.5 million USD</t>
        </is>
      </c>
      <c r="D15" s="6" t="inlineStr">
        <is>
          <t>not confirmed</t>
        </is>
      </c>
    </row>
    <row r="16">
      <c r="B16" s="7" t="inlineStr">
        <is>
          <t>Portion for characterization and confirmation</t>
        </is>
      </c>
      <c r="C16" s="7" t="inlineStr">
        <is>
          <t>not confirmed</t>
        </is>
      </c>
      <c r="D16" s="7" t="inlineStr">
        <is>
          <t>not confirmed</t>
        </is>
      </c>
    </row>
    <row r="17">
      <c r="B17" s="6" t="inlineStr">
        <is>
          <t>Projects selected</t>
        </is>
      </c>
      <c r="C17" s="6" t="inlineStr">
        <is>
          <t>21 (more than 99 million USD)</t>
        </is>
      </c>
      <c r="D17" s="6" t="inlineStr">
        <is>
          <t>not confirmed</t>
        </is>
      </c>
    </row>
    <row r="18" ht="45" customHeight="1">
      <c r="B18" s="4" t="inlineStr">
        <is>
          <r>
            <rPr>
              <rFont val="Calibri"/>
              <b val="1"/>
              <i val="1"/>
              <color rgb="00808080"/>
              <sz val="10"/>
            </rPr>
            <t xml:space="preserve">Source(s): </t>
          </r>
          <r>
            <rPr>
              <rFont val="Calibri"/>
              <i val="1"/>
              <color rgb="00808080"/>
              <sz val="10"/>
            </rPr>
            <t>S40 Geothermal Drilling Research | Department of Energy; S153 Funding Notice: Next-Generation Geothermal Field Tests and G; S154 Energy Department Announces $171.5 Million To Expand U.S. Ge; S152 DOE awards $99 million to 21 geothermal projects for field t; S102 The Biggest Week Yet for the Future of Next-Gen Geothermal</t>
          </r>
        </is>
      </c>
    </row>
    <row r="20" ht="20" customHeight="1">
      <c r="B20" s="3" t="inlineStr">
        <is>
          <t>(3) PUBLIC SUBSURFACE DATASETS ARE MOVING TO MACHINE LEARNING</t>
        </is>
      </c>
    </row>
    <row r="21" ht="45" customHeight="1">
      <c r="B21" s="4" t="inlineStr">
        <is>
          <r>
            <rPr>
              <rFont val="Calibri"/>
              <b val="1"/>
              <color rgb="002E2D29"/>
              <sz val="10"/>
            </rPr>
            <t xml:space="preserve">Fact: </t>
          </r>
          <r>
            <rPr>
              <rFont val="Calibri"/>
              <color rgb="002E2D29"/>
              <sz val="10"/>
            </rPr>
            <t>The USGS favorability work for the Great Basin uses machine learning, and its 3D temperature model is public. DOE's machine-learning-for-exploration Phase 1 was 5.5 million USD; Phase 2 selected four projects for up to 3.5 million USD. (not confirmed: 1, 2)</t>
          </r>
        </is>
      </c>
    </row>
    <row r="22">
      <c r="B22" s="5" t="inlineStr">
        <is>
          <t>Program</t>
        </is>
      </c>
      <c r="C22" s="5" t="inlineStr">
        <is>
          <t>Amount (USD)</t>
        </is>
      </c>
    </row>
    <row r="23">
      <c r="B23" s="6" t="inlineStr">
        <is>
          <t>DOE machine learning for geothermal exploration, Phase 1 (not confirmed: 1)</t>
        </is>
      </c>
      <c r="C23" s="6" t="inlineStr">
        <is>
          <t>5.5 million</t>
        </is>
      </c>
    </row>
    <row r="24">
      <c r="B24" s="7" t="inlineStr">
        <is>
          <t>DOE machine learning for geothermal exploration, Phase 2 (four projects) (not confirmed: 2)</t>
        </is>
      </c>
      <c r="C24" s="7" t="inlineStr">
        <is>
          <t>up to 3.5 million</t>
        </is>
      </c>
    </row>
    <row r="25" ht="45" customHeight="1">
      <c r="B25" s="4" t="inlineStr">
        <is>
          <r>
            <rPr>
              <rFont val="Calibri"/>
              <b val="1"/>
              <i val="1"/>
              <color rgb="00808080"/>
              <sz val="10"/>
            </rPr>
            <t xml:space="preserve">Source(s): </t>
          </r>
          <r>
            <rPr>
              <rFont val="Calibri"/>
              <i val="1"/>
              <color rgb="00808080"/>
              <sz val="10"/>
            </rPr>
            <t xml:space="preserve">S21 Geothermal resource favorability: select features and predic; S22 Data Estimating Enhanced Geothermal Systems (EGS) Electric-R; S204 Energy Department Awards $5.5 Million to Apply Machine Learn; S201 Department of Energy Selects Four Projects to Receive up to </t>
          </r>
        </is>
      </c>
    </row>
    <row r="27" ht="20" customHeight="1">
      <c r="B27" s="3" t="inlineStr">
        <is>
          <t>(4) BLIND-SYSTEM DISCOVERY IS BEING CLAIMED, AND THE INSTALLED BASE IS FLAT</t>
        </is>
      </c>
    </row>
    <row r="28" ht="45" customHeight="1">
      <c r="B28" s="4" t="inlineStr">
        <is>
          <r>
            <rPr>
              <rFont val="Calibri"/>
              <b val="1"/>
              <color rgb="002E2D29"/>
              <sz val="10"/>
            </rPr>
            <t xml:space="preserve">Fact: </t>
          </r>
          <r>
            <rPr>
              <rFont val="Calibri"/>
              <color rgb="002E2D29"/>
              <sz val="10"/>
            </rPr>
            <t>Zanskar says Big Blind is its third discovery in a year, after Lightning Dock and Pumpernickel; these are company claims. California geothermal net generation was 1.5% lower in 2025 than in 2019 and Nevada's was 0.9% lower. Only 157.3 MW is listed as planned. (not confirmed: 1.5, 0.9, 157.3)</t>
          </r>
        </is>
      </c>
    </row>
    <row r="29">
      <c r="B29" s="5" t="inlineStr">
        <is>
          <t>Year</t>
        </is>
      </c>
      <c r="C29" s="5" t="inlineStr">
        <is>
          <t>California geothermal net generation (MWh)</t>
        </is>
      </c>
      <c r="D29" s="5" t="inlineStr">
        <is>
          <t>Nevada geothermal net generation (MWh)</t>
        </is>
      </c>
    </row>
    <row r="30">
      <c r="B30" s="6" t="inlineStr">
        <is>
          <t>2019</t>
        </is>
      </c>
      <c r="C30" s="6" t="n">
        <v>10914107</v>
      </c>
      <c r="D30" s="6" t="n">
        <v>3909124.01</v>
      </c>
    </row>
    <row r="31">
      <c r="B31" s="7" t="inlineStr">
        <is>
          <t>2020</t>
        </is>
      </c>
      <c r="C31" s="7" t="n">
        <v>11366522</v>
      </c>
      <c r="D31" s="7" t="n">
        <v>3800921</v>
      </c>
    </row>
    <row r="32">
      <c r="B32" s="6" t="inlineStr">
        <is>
          <t>2021</t>
        </is>
      </c>
      <c r="C32" s="6" t="n">
        <v>11127544.01</v>
      </c>
      <c r="D32" s="6" t="n">
        <v>3917454.03</v>
      </c>
    </row>
    <row r="33">
      <c r="B33" s="7" t="inlineStr">
        <is>
          <t>2022</t>
        </is>
      </c>
      <c r="C33" s="7" t="n">
        <v>11180964.01</v>
      </c>
      <c r="D33" s="7" t="n">
        <v>3917131</v>
      </c>
    </row>
    <row r="34">
      <c r="B34" s="6" t="inlineStr">
        <is>
          <t>2023</t>
        </is>
      </c>
      <c r="C34" s="6" t="n">
        <v>11265933</v>
      </c>
      <c r="D34" s="6" t="n">
        <v>4150414</v>
      </c>
    </row>
    <row r="35">
      <c r="B35" s="7" t="inlineStr">
        <is>
          <t>2024</t>
        </is>
      </c>
      <c r="C35" s="7" t="n">
        <v>10524488</v>
      </c>
      <c r="D35" s="7" t="n">
        <v>3885732</v>
      </c>
    </row>
    <row r="36">
      <c r="B36" s="6" t="inlineStr">
        <is>
          <t>2025</t>
        </is>
      </c>
      <c r="C36" s="6" t="n">
        <v>10746514.85</v>
      </c>
      <c r="D36" s="6" t="n">
        <v>3874637.95</v>
      </c>
    </row>
    <row r="52" ht="45" customHeight="1">
      <c r="B52" s="4" t="inlineStr">
        <is>
          <r>
            <rPr>
              <rFont val="Calibri"/>
              <b val="1"/>
              <i val="1"/>
              <color rgb="00808080"/>
              <sz val="10"/>
            </rPr>
            <t xml:space="preserve">Source(s): </t>
          </r>
          <r>
            <rPr>
              <rFont val="Calibri"/>
              <i val="1"/>
              <color rgb="00808080"/>
              <sz val="10"/>
            </rPr>
            <t>E8 ERW table eia_state_generation_monthly; E10 ERW table eia_state_generation_monthly; E7 ERW table eia860m_planned_generators; S14 Finding and Proving Up 'Big Blind'; Zanskar's Third Deep Dis; S13 Zanskar Reveals 'Big Blind' - The Discovery of the First ...</t>
          </r>
        </is>
      </c>
    </row>
    <row r="54" ht="20" customHeight="1">
      <c r="B54" s="3" t="inlineStr">
        <is>
          <t>(5) THE CAPITAL STACK DOWNSTREAM OF MAPPING IS DEEPENING</t>
        </is>
      </c>
    </row>
    <row r="55" ht="45" customHeight="1">
      <c r="B55" s="4" t="inlineStr">
        <is>
          <r>
            <rPr>
              <rFont val="Calibri"/>
              <b val="1"/>
              <color rgb="002E2D29"/>
              <sz val="10"/>
            </rPr>
            <t xml:space="preserve">Fact: </t>
          </r>
          <r>
            <rPr>
              <rFont val="Calibri"/>
              <color rgb="002E2D29"/>
              <sz val="10"/>
            </rPr>
            <t>Fervo, an EGS developer outside this niche, closed 421 million USD of non-recourse debt for Cape Station on 2026-03-19. Its IPO priced at 27.00 USD per share and completed on 2026-05-14. The figures show demand for de-risked sites. (not confirmed: 2026, 3, 19, 27.00)</t>
          </r>
        </is>
      </c>
    </row>
    <row r="56">
      <c r="B56" s="5" t="inlineStr">
        <is>
          <t>Event</t>
        </is>
      </c>
      <c r="C56" s="5" t="inlineStr">
        <is>
          <t>Amount</t>
        </is>
      </c>
      <c r="D56" s="5" t="inlineStr">
        <is>
          <t>Date</t>
        </is>
      </c>
    </row>
    <row r="57">
      <c r="B57" s="6" t="inlineStr">
        <is>
          <t>Financing for Cape Station</t>
        </is>
      </c>
      <c r="C57" s="6" t="inlineStr">
        <is>
          <t>206 million USD</t>
        </is>
      </c>
      <c r="D57" s="6" t="inlineStr">
        <is>
          <t>not confirmed</t>
        </is>
      </c>
    </row>
    <row r="58">
      <c r="B58" s="7" t="inlineStr">
        <is>
          <t>Series E, led by B Capital</t>
        </is>
      </c>
      <c r="C58" s="7" t="inlineStr">
        <is>
          <t>462 million USD</t>
        </is>
      </c>
      <c r="D58" s="7" t="inlineStr">
        <is>
          <t>not disclosed</t>
        </is>
      </c>
    </row>
    <row r="59">
      <c r="B59" s="6" t="inlineStr">
        <is>
          <t>Non-recourse project financing</t>
        </is>
      </c>
      <c r="C59" s="6" t="inlineStr">
        <is>
          <t>421 million USD</t>
        </is>
      </c>
      <c r="D59" s="6" t="inlineStr">
        <is>
          <t>not confirmed</t>
        </is>
      </c>
    </row>
    <row r="60">
      <c r="B60" s="7" t="inlineStr">
        <is>
          <t>IPO price per share</t>
        </is>
      </c>
      <c r="C60" s="7" t="inlineStr">
        <is>
          <t>not confirmed</t>
        </is>
      </c>
      <c r="D60" s="7" t="inlineStr">
        <is>
          <t>not confirmed</t>
        </is>
      </c>
    </row>
    <row r="61" ht="45" customHeight="1">
      <c r="B61" s="4" t="inlineStr">
        <is>
          <r>
            <rPr>
              <rFont val="Calibri"/>
              <b val="1"/>
              <i val="1"/>
              <color rgb="00808080"/>
              <sz val="10"/>
            </rPr>
            <t xml:space="preserve">Source(s): </t>
          </r>
          <r>
            <rPr>
              <rFont val="Calibri"/>
              <i val="1"/>
              <color rgb="00808080"/>
              <sz val="10"/>
            </rPr>
            <t>S33 Fervo Energy Secures $206 Million In New Financing To Accele; S38 www.businesswire.com; S123 Fervo Energy Raises $462 Million Series E to Accelerate Geot; S32 Fervo Energy Secures $421 Million in Non-Recourse Project Fi; S128 Fervo Energy Co - Form 10-Q - FY2026</t>
          </r>
        </is>
      </c>
    </row>
  </sheetData>
  <mergeCells count="15">
    <mergeCell ref="B12:I12"/>
    <mergeCell ref="B13:I13"/>
    <mergeCell ref="B18:I18"/>
    <mergeCell ref="B52:I52"/>
    <mergeCell ref="B21:I21"/>
    <mergeCell ref="B25:I25"/>
    <mergeCell ref="B55:I55"/>
    <mergeCell ref="B54:I54"/>
    <mergeCell ref="B20:I20"/>
    <mergeCell ref="B10:I10"/>
    <mergeCell ref="B28:I28"/>
    <mergeCell ref="B5:I5"/>
    <mergeCell ref="B61:I61"/>
    <mergeCell ref="B27:I27"/>
    <mergeCell ref="B4:I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1:J9"/>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Landscape</t>
        </is>
      </c>
    </row>
    <row r="2">
      <c r="B2" s="2" t="inlineStr">
        <is>
          <t>subsurface heat mapping for geothermal</t>
        </is>
      </c>
    </row>
    <row r="4" ht="20" customHeight="1">
      <c r="B4" s="3" t="inlineStr">
        <is>
          <t>(1) COMPANIES</t>
        </is>
      </c>
    </row>
    <row r="5" ht="45" customHeight="1">
      <c r="B5" s="4" t="inlineStr">
        <is>
          <r>
            <rPr>
              <rFont val="Calibri"/>
              <b val="1"/>
              <color rgb="002E2D29"/>
              <sz val="10"/>
            </rPr>
            <t xml:space="preserve">Fact: </t>
          </r>
          <r>
            <rPr>
              <rFont val="Calibri"/>
              <color rgb="002E2D29"/>
              <sz val="10"/>
            </rPr>
            <t>Operating US geothermal nameplate capacity is 4049.2 MW (estimate: sum of state values CA 2935.5, NV 913.7, UT 77.1, HI 51.0, OR 36.7, NM 19.2, ID 16.0 MW). Planned capacity is 157.3 MW (estimate: 26.5 + 130.8). (not confirmed: 4049.2, 157.3)</t>
          </r>
        </is>
      </c>
    </row>
    <row r="6">
      <c r="B6" s="5" t="inlineStr">
        <is>
          <t>Company</t>
        </is>
      </c>
      <c r="C6" s="5" t="inlineStr">
        <is>
          <t>What it does</t>
        </is>
      </c>
      <c r="D6" s="5" t="inlineStr">
        <is>
          <t>Founders</t>
        </is>
      </c>
      <c r="E6" s="5" t="inlineStr">
        <is>
          <t>Stage</t>
        </is>
      </c>
      <c r="F6" s="5" t="inlineStr">
        <is>
          <t>Raised</t>
        </is>
      </c>
      <c r="G6" s="5" t="inlineStr">
        <is>
          <t>Location</t>
        </is>
      </c>
      <c r="H6" s="5" t="inlineStr">
        <is>
          <t>Signal</t>
        </is>
      </c>
      <c r="I6" s="5" t="inlineStr">
        <is>
          <t>Sources</t>
        </is>
      </c>
      <c r="J6" s="5" t="inlineStr">
        <is>
          <t>Confidence (0 to 100)</t>
        </is>
      </c>
    </row>
    <row r="7">
      <c r="B7" s="6" t="inlineStr">
        <is>
          <t>Zanskar Geothermal &amp; Minerals</t>
        </is>
      </c>
      <c r="C7" s="6" t="inlineStr">
        <is>
          <t>Uses custom-built AI to find hidden geothermal systems, and now develops power plants. It reports Big Blind in Nevada as the first blind geothermal system identified and confirmed commercial in the U.S. by industry in over 30 years (company claim).</t>
        </is>
      </c>
      <c r="D7" s="6" t="inlineStr">
        <is>
          <t>Carl Hoiland (CEO), Joel Edwards (CTO)</t>
        </is>
      </c>
      <c r="E7" s="6" t="inlineStr">
        <is>
          <t>Series C, announced 2026-01-21</t>
        </is>
      </c>
      <c r="F7" s="6" t="inlineStr">
        <is>
          <t>$115 million Series C; total equity raised $180 million</t>
        </is>
      </c>
      <c r="G7" s="6" t="inlineStr">
        <is>
          <t>Salt Lake City</t>
        </is>
      </c>
      <c r="H7" s="6" t="inlineStr">
        <is>
          <t>Drilled a well at about 137 °C at about 762 meters depth at Pumpernickel, Nevada, its second discovery; Big Blind is its third discovery in a year (company claim).</t>
        </is>
      </c>
      <c r="I7" s="6" t="inlineStr">
        <is>
          <t>S1, S139, S140, S169, E19</t>
        </is>
      </c>
      <c r="J7" s="6" t="inlineStr">
        <is>
          <t>90: 3 independent sources, latest 2026; stage confirmed and raised not confirmed by a primary source</t>
        </is>
      </c>
    </row>
    <row r="8">
      <c r="B8" s="7" t="inlineStr">
        <is>
          <t>Project InnerSpace</t>
        </is>
      </c>
      <c r="C8" s="7" t="inlineStr">
        <is>
          <t>Nonprofit that builds GeoMap, a free interactive geothermal exploration tool. The North America module has 150+ layers of subsurface and surface data.</t>
        </is>
      </c>
      <c r="D8" s="7" t="inlineStr">
        <is>
          <t>not disclosed (Jamie Beard is executive director)</t>
        </is>
      </c>
      <c r="E8" s="7" t="inlineStr">
        <is>
          <t>Nonprofit</t>
        </is>
      </c>
      <c r="F8" s="7" t="inlineStr">
        <is>
          <t>$16.6 million in research investments to date, self-reported</t>
        </is>
      </c>
      <c r="G8" s="7" t="inlineStr">
        <is>
          <t>not disclosed</t>
        </is>
      </c>
      <c r="H8" s="7" t="inlineStr">
        <is>
          <t>GeoMap is hosted on Google Earth Engine and was built with more than 100 researchers. Google Cloud, Project InnerSpace and SLB announced a collaboration on 2025-03-06.</t>
        </is>
      </c>
      <c r="I8" s="7" t="inlineStr">
        <is>
          <t>E19, S62, S106, S176</t>
        </is>
      </c>
      <c r="J8" s="7" t="inlineStr">
        <is>
          <t>80: 3 independent sources, latest 2025; stage not confirmed and raised not confirmed by a primary source</t>
        </is>
      </c>
    </row>
    <row r="9" ht="60" customHeight="1">
      <c r="B9" s="4" t="inlineStr">
        <is>
          <r>
            <rPr>
              <rFont val="Calibri"/>
              <b val="1"/>
              <i val="1"/>
              <color rgb="00808080"/>
              <sz val="10"/>
            </rPr>
            <t xml:space="preserve">Source(s): </t>
          </r>
          <r>
            <rPr>
              <rFont val="Calibri"/>
              <i val="1"/>
              <color rgb="00808080"/>
              <sz val="10"/>
            </rPr>
            <t>S1 Zanskar Raises $115 Million to Scale AI-Driven Geothermal Di; S139 Zanskar Geothermal and Minerals, Inc. Asset Profile | Preqin; S140 Zanskar raises $115M Series C Following Record-Setting Year ; S169 Zanskar validates AI-based discovery method with drilling at; E19 ERW table energy_companies; S62 Project InnerSpace's GeoMap; S106 Project InnerSpace launches GeoMap Beta geothermal explorati; S176 Google Cloud, Project Innerspace and SLB Collaborate to Acce</t>
          </r>
        </is>
      </c>
    </row>
  </sheetData>
  <mergeCells count="3">
    <mergeCell ref="B9:I9"/>
    <mergeCell ref="B5:I5"/>
    <mergeCell ref="B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11"/>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Capital</t>
        </is>
      </c>
    </row>
    <row r="2">
      <c r="B2" s="2" t="inlineStr">
        <is>
          <t>subsurface heat mapping for geothermal</t>
        </is>
      </c>
    </row>
    <row r="4" ht="20" customHeight="1">
      <c r="B4" s="3" t="inlineStr">
        <is>
          <t>(1) ROUNDS, PROJECT FINANCE AND M&amp;A</t>
        </is>
      </c>
    </row>
    <row r="5" ht="45" customHeight="1">
      <c r="B5" s="4" t="inlineStr">
        <is>
          <r>
            <rPr>
              <rFont val="Calibri"/>
              <b val="1"/>
              <color rgb="002E2D29"/>
              <sz val="10"/>
            </rPr>
            <t xml:space="preserve">Fact: </t>
          </r>
          <r>
            <rPr>
              <rFont val="Calibri"/>
              <color rgb="002E2D29"/>
              <sz val="10"/>
            </rPr>
            <t>Two rounds tied to the niche are sourced: Zanskar's 115 million USD Series C, and Fervo's 462 million USD Series E. Fervo's 421 million USD debt and 206 million USD financing are downstream of mapping. The warehouse holds no mapping-specific deal; its only geothermal equity row is Fervo's IPO, logged without an amount (E26). (not confirmed: 462, 206)</t>
          </r>
        </is>
      </c>
    </row>
    <row r="6">
      <c r="B6" s="5" t="inlineStr">
        <is>
          <t>Date</t>
        </is>
      </c>
      <c r="C6" s="5" t="inlineStr">
        <is>
          <t>Company</t>
        </is>
      </c>
      <c r="D6" s="5" t="inlineStr">
        <is>
          <t>Kind</t>
        </is>
      </c>
      <c r="E6" s="5" t="inlineStr">
        <is>
          <t>Amount</t>
        </is>
      </c>
      <c r="F6" s="5" t="inlineStr">
        <is>
          <t>Currency</t>
        </is>
      </c>
      <c r="G6" s="5" t="inlineStr">
        <is>
          <t>Investors</t>
        </is>
      </c>
      <c r="H6" s="5" t="inlineStr">
        <is>
          <t>Sources</t>
        </is>
      </c>
    </row>
    <row r="7">
      <c r="B7" s="6" t="inlineStr">
        <is>
          <t>2026-01-21</t>
        </is>
      </c>
      <c r="C7" s="6" t="inlineStr">
        <is>
          <t>Zanskar Geothermal &amp; Minerals</t>
        </is>
      </c>
      <c r="D7" s="6" t="inlineStr">
        <is>
          <t>Series C</t>
        </is>
      </c>
      <c r="E7" s="6" t="inlineStr">
        <is>
          <t>115 million</t>
        </is>
      </c>
      <c r="F7" s="6" t="inlineStr">
        <is>
          <t>USD</t>
        </is>
      </c>
      <c r="G7" s="6" t="inlineStr"/>
      <c r="H7" s="6" t="inlineStr">
        <is>
          <t>S1, S3, E19</t>
        </is>
      </c>
    </row>
    <row r="8">
      <c r="B8" s="7" t="inlineStr"/>
      <c r="C8" s="7" t="inlineStr">
        <is>
          <t>Fervo Energy</t>
        </is>
      </c>
      <c r="D8" s="7" t="inlineStr">
        <is>
          <t>Series E</t>
        </is>
      </c>
      <c r="E8" s="7" t="inlineStr">
        <is>
          <t>462 million</t>
        </is>
      </c>
      <c r="F8" s="7" t="inlineStr">
        <is>
          <t>USD</t>
        </is>
      </c>
      <c r="G8" s="7" t="inlineStr">
        <is>
          <t>Google</t>
        </is>
      </c>
      <c r="H8" s="7" t="inlineStr">
        <is>
          <t>S121, S148</t>
        </is>
      </c>
    </row>
    <row r="9">
      <c r="B9" s="6" t="inlineStr"/>
      <c r="C9" s="6" t="inlineStr">
        <is>
          <t>Fervo Energy</t>
        </is>
      </c>
      <c r="D9" s="6" t="inlineStr">
        <is>
          <t>Non-recourse debt, Cape Station Phase I</t>
        </is>
      </c>
      <c r="E9" s="6" t="inlineStr">
        <is>
          <t>421 million</t>
        </is>
      </c>
      <c r="F9" s="6" t="inlineStr">
        <is>
          <t>USD</t>
        </is>
      </c>
      <c r="G9" s="6" t="inlineStr">
        <is>
          <t>Barclays, HSBC</t>
        </is>
      </c>
      <c r="H9" s="6" t="inlineStr">
        <is>
          <t>S32, S253</t>
        </is>
      </c>
    </row>
    <row r="10">
      <c r="B10" s="7" t="inlineStr"/>
      <c r="C10" s="7" t="inlineStr">
        <is>
          <t>Fervo Energy</t>
        </is>
      </c>
      <c r="D10" s="7" t="inlineStr">
        <is>
          <t>Financing, Cape Station</t>
        </is>
      </c>
      <c r="E10" s="7" t="inlineStr">
        <is>
          <t>206 million</t>
        </is>
      </c>
      <c r="F10" s="7" t="inlineStr">
        <is>
          <t>USD</t>
        </is>
      </c>
      <c r="G10" s="7" t="inlineStr">
        <is>
          <t>not disclosed</t>
        </is>
      </c>
      <c r="H10" s="7" t="inlineStr">
        <is>
          <t>S33, S38</t>
        </is>
      </c>
    </row>
    <row r="11" ht="75" customHeight="1">
      <c r="B11" s="4" t="inlineStr">
        <is>
          <r>
            <rPr>
              <rFont val="Calibri"/>
              <b val="1"/>
              <i val="1"/>
              <color rgb="00808080"/>
              <sz val="10"/>
            </rPr>
            <t xml:space="preserve">Source(s): </t>
          </r>
          <r>
            <rPr>
              <rFont val="Calibri"/>
              <i val="1"/>
              <color rgb="00808080"/>
              <sz val="10"/>
            </rPr>
            <t>S1 Zanskar Raises $115 Million to Scale AI-Driven Geothermal Di; S3 Private Investors Back Zanskar’s Mission to Harness Hidden G; E19 ERW table energy_companies; S121 Fervo Energy secures $421 million in debt, boosting its IPO ; S148 Google invests in Fervo’s $462M round to unlock even more ge; S32 Fervo Energy Secures $421 Million in Non-Recourse Project Fi; S253 Fervo geothermal plant gets $421M in debt financing from Bar; S33 Fervo Energy Secures $206 Million In New Financing To Accele; S38 www.businesswire.com</t>
          </r>
        </is>
      </c>
    </row>
  </sheetData>
  <mergeCells count="3">
    <mergeCell ref="B11:I11"/>
    <mergeCell ref="B5:I5"/>
    <mergeCell ref="B4:I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I9"/>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Incumbents</t>
        </is>
      </c>
    </row>
    <row r="2">
      <c r="B2" s="2" t="inlineStr">
        <is>
          <t>subsurface heat mapping for geothermal</t>
        </is>
      </c>
    </row>
    <row r="4" ht="20" customHeight="1">
      <c r="B4" s="3" t="inlineStr">
        <is>
          <t>(1) LARGE PLAYERS AND PUBLIC COMPARABLES</t>
        </is>
      </c>
    </row>
    <row r="5" ht="45" customHeight="1">
      <c r="B5" s="4" t="inlineStr">
        <is>
          <r>
            <rPr>
              <rFont val="Calibri"/>
              <b val="1"/>
              <color rgb="002E2D29"/>
              <sz val="10"/>
            </rPr>
            <t xml:space="preserve">Fact: </t>
          </r>
          <r>
            <rPr>
              <rFont val="Calibri"/>
              <color rgb="002E2D29"/>
              <sz val="10"/>
            </rPr>
            <t>Two listed geothermal companies have a metric in the sources: Fervo (Nasdaq: FRVO), with cash of $2.1 billion on 2026-06-30, and Ormat (NYSE: ORA), with 2026 revenue guidance of $1,150 million to $1,200 million. Neither is a mapping vendor. SLB, Baker Hughes and Nabors have no metric retrieved, so they are left out. (not confirmed: 2.1, 6, 30, 1150)</t>
          </r>
        </is>
      </c>
    </row>
    <row r="6">
      <c r="B6" s="5" t="inlineStr">
        <is>
          <t>Name</t>
        </is>
      </c>
      <c r="C6" s="5" t="inlineStr">
        <is>
          <t>Kind</t>
        </is>
      </c>
      <c r="D6" s="5" t="inlineStr">
        <is>
          <t>Ticker</t>
        </is>
      </c>
      <c r="E6" s="5" t="inlineStr">
        <is>
          <t>Metric that matters</t>
        </is>
      </c>
      <c r="F6" s="5" t="inlineStr">
        <is>
          <t>Value</t>
        </is>
      </c>
      <c r="G6" s="5" t="inlineStr">
        <is>
          <t>As of</t>
        </is>
      </c>
      <c r="H6" s="5" t="inlineStr">
        <is>
          <t>Sources</t>
        </is>
      </c>
    </row>
    <row r="7">
      <c r="B7" s="6" t="inlineStr">
        <is>
          <t>Fervo Energy</t>
        </is>
      </c>
      <c r="C7" s="6" t="inlineStr">
        <is>
          <t>public company, enhanced geothermal developer</t>
        </is>
      </c>
      <c r="D7" s="6" t="inlineStr">
        <is>
          <t>FRVO</t>
        </is>
      </c>
      <c r="E7" s="6" t="inlineStr">
        <is>
          <t>Cash and cash equivalents</t>
        </is>
      </c>
      <c r="F7" s="6" t="inlineStr">
        <is>
          <t>not confirmed</t>
        </is>
      </c>
      <c r="G7" s="6" t="inlineStr">
        <is>
          <t>2026-06-30</t>
        </is>
      </c>
      <c r="H7" s="6" t="inlineStr">
        <is>
          <t>S180</t>
        </is>
      </c>
    </row>
    <row r="8">
      <c r="B8" s="7" t="inlineStr">
        <is>
          <t>Ormat Technologies</t>
        </is>
      </c>
      <c r="C8" s="7" t="inlineStr">
        <is>
          <t>public company, geothermal power producer</t>
        </is>
      </c>
      <c r="D8" s="7" t="inlineStr">
        <is>
          <t>ORA</t>
        </is>
      </c>
      <c r="E8" s="7" t="inlineStr">
        <is>
          <t>2026 total revenue guidance</t>
        </is>
      </c>
      <c r="F8" s="7" t="inlineStr">
        <is>
          <t>not confirmed</t>
        </is>
      </c>
      <c r="G8" s="7" t="inlineStr">
        <is>
          <t>2026-08-05</t>
        </is>
      </c>
      <c r="H8" s="7" t="inlineStr">
        <is>
          <t>S189</t>
        </is>
      </c>
    </row>
    <row r="9" ht="30" customHeight="1">
      <c r="B9" s="4" t="inlineStr">
        <is>
          <r>
            <rPr>
              <rFont val="Calibri"/>
              <b val="1"/>
              <i val="1"/>
              <color rgb="00808080"/>
              <sz val="10"/>
            </rPr>
            <t xml:space="preserve">Source(s): </t>
          </r>
          <r>
            <rPr>
              <rFont val="Calibri"/>
              <i val="1"/>
              <color rgb="00808080"/>
              <sz val="10"/>
            </rPr>
            <t>S180 Earnings call transcript: Fervo Energy falls as q2 2026 loss; S189 Ormat Technologies Reports Second Quarter 2026 Financial Res</t>
          </r>
        </is>
      </c>
    </row>
  </sheetData>
  <mergeCells count="3">
    <mergeCell ref="B9:I9"/>
    <mergeCell ref="B5:I5"/>
    <mergeCell ref="B4:I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I9"/>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Policy</t>
        </is>
      </c>
    </row>
    <row r="2">
      <c r="B2" s="2" t="inlineStr">
        <is>
          <t>subsurface heat mapping for geothermal</t>
        </is>
      </c>
    </row>
    <row r="4" ht="20" customHeight="1">
      <c r="B4" s="3" t="inlineStr">
        <is>
          <t>(1) POLICY ACTIONS (ERW TABLES POLICY_ACTIONS AND POLICY_READS)</t>
        </is>
      </c>
    </row>
    <row r="5" ht="45" customHeight="1">
      <c r="B5" s="4" t="inlineStr">
        <is>
          <r>
            <rPr>
              <rFont val="Calibri"/>
              <b val="1"/>
              <color rgb="002E2D29"/>
              <sz val="10"/>
            </rPr>
            <t xml:space="preserve">Fact: </t>
          </r>
          <r>
            <rPr>
              <rFont val="Calibri"/>
              <color rgb="002E2D29"/>
              <sz val="10"/>
            </rPr>
            <t>Two candidate actions bear on the niche: a DOE award of $99 million for 21 geothermal projects, and a BLM notice on its National Environmental Policy Act procedures. The LNG export notices and the land-order and realty notices do not concern geothermal exploration and are left out.</t>
          </r>
        </is>
      </c>
    </row>
    <row r="6">
      <c r="B6" s="5" t="inlineStr">
        <is>
          <t>Date</t>
        </is>
      </c>
      <c r="C6" s="5" t="inlineStr">
        <is>
          <t>Agency</t>
        </is>
      </c>
      <c r="D6" s="5" t="inlineStr">
        <is>
          <t>Type</t>
        </is>
      </c>
      <c r="E6" s="5" t="inlineStr">
        <is>
          <t>Title</t>
        </is>
      </c>
      <c r="F6" s="5" t="inlineStr">
        <is>
          <t>Read (policy_reads) or why it matters</t>
        </is>
      </c>
      <c r="G6" s="5" t="inlineStr">
        <is>
          <t>Link</t>
        </is>
      </c>
    </row>
    <row r="7">
      <c r="B7" s="6" t="inlineStr">
        <is>
          <t>2026-09-21</t>
        </is>
      </c>
      <c r="C7" s="6" t="inlineStr">
        <is>
          <t>DOE</t>
        </is>
      </c>
      <c r="D7" s="6" t="inlineStr">
        <is>
          <t>press release</t>
        </is>
      </c>
      <c r="E7" s="6" t="inlineStr">
        <is>
          <t>Energy Department Announces $99 Million for 21 Projects to Advance U.S. Geothermal Energy Development</t>
        </is>
      </c>
      <c r="F7" s="6" t="inlineStr">
        <is>
          <t>The Department of Energy is giving over $99 million to 21 projects that will test new geothermal energy technologies and drill to find promising underground heat resources. The funding is not final yet, since DOE still has to negotiate with each project and could cancel the deal.</t>
        </is>
      </c>
      <c r="G7" s="6" t="inlineStr">
        <is>
          <t>https://www.energy.gov/articles/energy-department-announces-99-million-21-projects-advance-us-geothermal-energy</t>
        </is>
      </c>
    </row>
    <row r="8">
      <c r="B8" s="7" t="inlineStr">
        <is>
          <t>2026-04-28</t>
        </is>
      </c>
      <c r="C8" s="7" t="inlineStr">
        <is>
          <t>Interior</t>
        </is>
      </c>
      <c r="D8" s="7" t="inlineStr">
        <is>
          <t>notice</t>
        </is>
      </c>
      <c r="E8" s="7" t="inlineStr">
        <is>
          <t>National Environmental Policy Act Implementing Procedures for the Bureau of Land Management</t>
        </is>
      </c>
      <c r="F8" s="7" t="inlineStr">
        <is>
          <t>The notice sets out how the Bureau of Land Management applies the National Environmental Policy Act. Permitting is a step before exploration drilling on federal land. The notes do not give the notice's effect on geothermal exploration timelines.</t>
        </is>
      </c>
      <c r="G8" s="7" t="inlineStr">
        <is>
          <t>https://www.federalregister.gov/documents/2026/04/28/2026-08235/national-environmental-policy-act-implementing-procedures-for-the-bureau-of-land-management</t>
        </is>
      </c>
    </row>
    <row r="9" ht="30" customHeight="1">
      <c r="B9" s="4" t="inlineStr">
        <is>
          <r>
            <rPr>
              <rFont val="Calibri"/>
              <b val="1"/>
              <i val="1"/>
              <color rgb="00808080"/>
              <sz val="10"/>
            </rPr>
            <t xml:space="preserve">Source(s): </t>
          </r>
          <r>
            <rPr>
              <rFont val="Calibri"/>
              <i val="1"/>
              <color rgb="00808080"/>
              <sz val="10"/>
            </rPr>
            <t>ERW tables policy_actions (Federal Register and agency news) and policy_reads (impact reads, fields kept only when their words are in the action's own text).</t>
          </r>
        </is>
      </c>
    </row>
  </sheetData>
  <mergeCells count="3">
    <mergeCell ref="B9:I9"/>
    <mergeCell ref="B5:I5"/>
    <mergeCell ref="B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I27"/>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Risks</t>
        </is>
      </c>
    </row>
    <row r="2">
      <c r="B2" s="2" t="inlineStr">
        <is>
          <t>subsurface heat mapping for geothermal</t>
        </is>
      </c>
    </row>
    <row r="4" ht="20" customHeight="1">
      <c r="B4" s="3" t="inlineStr">
        <is>
          <t>(1) NO SIZED MARKET FOR MAPPING AS A STAND-ALONE SERVICE</t>
        </is>
      </c>
    </row>
    <row r="5" ht="30" customHeight="1">
      <c r="B5" s="4" t="inlineStr">
        <is>
          <r>
            <rPr>
              <rFont val="Calibri"/>
              <b val="1"/>
              <color rgb="002E2D29"/>
              <sz val="10"/>
            </rPr>
            <t xml:space="preserve">Fact: </t>
          </r>
          <r>
            <rPr>
              <rFont val="Calibri"/>
              <color rgb="002E2D29"/>
              <sz val="10"/>
            </rPr>
            <t>Without a market size, a vendor list or an exploration cost per project, the niche cannot be sized. The one mapping-led company found, Zanskar, is also a plant developer.</t>
          </r>
        </is>
      </c>
    </row>
    <row r="6" ht="30" customHeight="1">
      <c r="B6" s="4" t="inlineStr">
        <is>
          <r>
            <rPr>
              <rFont val="Calibri"/>
              <b val="1"/>
              <color rgb="002E2D29"/>
              <sz val="10"/>
            </rPr>
            <t xml:space="preserve">Not known: </t>
          </r>
          <r>
            <rPr>
              <rFont val="Calibri"/>
              <color rgb="002E2D29"/>
              <sz val="10"/>
            </rPr>
            <t>Market size for mapping or exploration services: not found. Mapping-only vendors: not found. Exploration cost per project and drill success rate: not found.</t>
          </r>
        </is>
      </c>
    </row>
    <row r="7" ht="15" customHeight="1">
      <c r="B7" s="4" t="inlineStr">
        <is>
          <r>
            <rPr>
              <rFont val="Calibri"/>
              <b val="1"/>
              <i val="1"/>
              <color rgb="00808080"/>
              <sz val="10"/>
            </rPr>
            <t xml:space="preserve">Source(s): </t>
          </r>
          <r>
            <rPr>
              <rFont val="Calibri"/>
              <i val="1"/>
              <color rgb="00808080"/>
              <sz val="10"/>
            </rPr>
            <t>S1 Zanskar Raises $115 Million to Scale AI-Driven Geothermal Di</t>
          </r>
        </is>
      </c>
    </row>
    <row r="9" ht="20" customHeight="1">
      <c r="B9" s="3" t="inlineStr">
        <is>
          <t>(2) DISCOVERY CLAIMS ARE THE COMPANIES' OWN</t>
        </is>
      </c>
    </row>
    <row r="10" ht="45" customHeight="1">
      <c r="B10" s="4" t="inlineStr">
        <is>
          <r>
            <rPr>
              <rFont val="Calibri"/>
              <b val="1"/>
              <color rgb="002E2D29"/>
              <sz val="10"/>
            </rPr>
            <t xml:space="preserve">Fact: </t>
          </r>
          <r>
            <rPr>
              <rFont val="Calibri"/>
              <color rgb="002E2D29"/>
              <sz val="10"/>
            </rPr>
            <t>The case for AI-led target selection rests on Zanskar's statement that Big Blind is the first blind geothermal system confirmed commercial by industry in over 30 years. If later drilling or commercial results do not hold, the evidence for the method weakens. (not confirmed: 30)</t>
          </r>
        </is>
      </c>
    </row>
    <row r="11" ht="15" customHeight="1">
      <c r="B11" s="4" t="inlineStr">
        <is>
          <r>
            <rPr>
              <rFont val="Calibri"/>
              <b val="1"/>
              <color rgb="002E2D29"/>
              <sz val="10"/>
            </rPr>
            <t xml:space="preserve">Not known: </t>
          </r>
          <r>
            <rPr>
              <rFont val="Calibri"/>
              <color rgb="002E2D29"/>
              <sz val="10"/>
            </rPr>
            <t>Independent confirmation of the discovery record; commercial output of Big Blind: not disclosed.</t>
          </r>
        </is>
      </c>
    </row>
    <row r="12" ht="30" customHeight="1">
      <c r="B12" s="4" t="inlineStr">
        <is>
          <r>
            <rPr>
              <rFont val="Calibri"/>
              <b val="1"/>
              <i val="1"/>
              <color rgb="00808080"/>
              <sz val="10"/>
            </rPr>
            <t xml:space="preserve">Source(s): </t>
          </r>
          <r>
            <rPr>
              <rFont val="Calibri"/>
              <i val="1"/>
              <color rgb="00808080"/>
              <sz val="10"/>
            </rPr>
            <t>S13 Zanskar Reveals 'Big Blind' - The Discovery of the First ...; S14 Finding and Proving Up 'Big Blind'; Zanskar's Third Deep Dis</t>
          </r>
        </is>
      </c>
    </row>
    <row r="14" ht="20" customHeight="1">
      <c r="B14" s="3" t="inlineStr">
        <is>
          <t>(3) FLAT INSTALLED BASE AND A SMALL BUILD LIST</t>
        </is>
      </c>
    </row>
    <row r="15" ht="45" customHeight="1">
      <c r="B15" s="4" t="inlineStr">
        <is>
          <r>
            <rPr>
              <rFont val="Calibri"/>
              <b val="1"/>
              <color rgb="002E2D29"/>
              <sz val="10"/>
            </rPr>
            <t xml:space="preserve">Fact: </t>
          </r>
          <r>
            <rPr>
              <rFont val="Calibri"/>
              <color rgb="002E2D29"/>
              <sz val="10"/>
            </rPr>
            <t>California geothermal generation was 10,746,514.85 MWh in 2025, against 10,914,107 MWh in 2019. Nevada was 3,874,637.95 MWh in 2025, against 3,909,124.01 MWh in 2019. Planned geothermal capacity is 157.3 MW (estimate: 26.5 + 130.8). Demand for new targets depends on new builds. (not confirmed: 157.3)</t>
          </r>
        </is>
      </c>
    </row>
    <row r="16" ht="15" customHeight="1">
      <c r="B16" s="4" t="inlineStr">
        <is>
          <r>
            <rPr>
              <rFont val="Calibri"/>
              <b val="1"/>
              <color rgb="002E2D29"/>
              <sz val="10"/>
            </rPr>
            <t xml:space="preserve">Not known: </t>
          </r>
          <r>
            <rPr>
              <rFont val="Calibri"/>
              <color rgb="002E2D29"/>
              <sz val="10"/>
            </rPr>
            <t>How much of the planned capacity came from mapped or blind prospects: not disclosed.</t>
          </r>
        </is>
      </c>
    </row>
    <row r="17" ht="30" customHeight="1">
      <c r="B17" s="4" t="inlineStr">
        <is>
          <r>
            <rPr>
              <rFont val="Calibri"/>
              <b val="1"/>
              <i val="1"/>
              <color rgb="00808080"/>
              <sz val="10"/>
            </rPr>
            <t xml:space="preserve">Source(s): </t>
          </r>
          <r>
            <rPr>
              <rFont val="Calibri"/>
              <i val="1"/>
              <color rgb="00808080"/>
              <sz val="10"/>
            </rPr>
            <t>E7 ERW table eia860m_planned_generators; E8 ERW table eia_state_generation_monthly; E10 ERW table eia_state_generation_monthly</t>
          </r>
        </is>
      </c>
    </row>
    <row r="19" ht="20" customHeight="1">
      <c r="B19" s="3" t="inlineStr">
        <is>
          <t>(4) PUBLIC AND FREE DATA LOWER THE BARRIER TO ENTRY</t>
        </is>
      </c>
    </row>
    <row r="20" ht="45" customHeight="1">
      <c r="B20" s="4" t="inlineStr">
        <is>
          <r>
            <rPr>
              <rFont val="Calibri"/>
              <b val="1"/>
              <color rgb="002E2D29"/>
              <sz val="10"/>
            </rPr>
            <t xml:space="preserve">Fact: </t>
          </r>
          <r>
            <rPr>
              <rFont val="Calibri"/>
              <color rgb="002E2D29"/>
              <sz val="10"/>
            </rPr>
            <t>The USGS publishes a three-dimensional temperature model and a favorability dataset for the Great Basin, and Project InnerSpace offers GeoMap free. If maps are free, paid mapping has less to sell. The link from public data to entrants' costs is an inference.</t>
          </r>
        </is>
      </c>
    </row>
    <row r="21" ht="15" customHeight="1">
      <c r="B21" s="4" t="inlineStr">
        <is>
          <r>
            <rPr>
              <rFont val="Calibri"/>
              <b val="1"/>
              <color rgb="002E2D29"/>
              <sz val="10"/>
            </rPr>
            <t xml:space="preserve">Not known: </t>
          </r>
          <r>
            <rPr>
              <rFont val="Calibri"/>
              <color rgb="002E2D29"/>
              <sz val="10"/>
            </rPr>
            <t>Whether buyers pay for maps, or only for drilled results: not disclosed.</t>
          </r>
        </is>
      </c>
    </row>
    <row r="22" ht="30" customHeight="1">
      <c r="B22" s="4" t="inlineStr">
        <is>
          <r>
            <rPr>
              <rFont val="Calibri"/>
              <b val="1"/>
              <i val="1"/>
              <color rgb="00808080"/>
              <sz val="10"/>
            </rPr>
            <t xml:space="preserve">Source(s): </t>
          </r>
          <r>
            <rPr>
              <rFont val="Calibri"/>
              <i val="1"/>
              <color rgb="00808080"/>
              <sz val="10"/>
            </rPr>
            <t>S21 Geothermal resource favorability: select features and predic; S22 Data Estimating Enhanced Geothermal Systems (EGS) Electric-R; S62 Project InnerSpace's GeoMap; E19 ERW table energy_companies</t>
          </r>
        </is>
      </c>
    </row>
    <row r="24" ht="20" customHeight="1">
      <c r="B24" s="3" t="inlineStr">
        <is>
          <t>(5) RELIANCE ON FEDERAL FUNDING FOR PROSPECT CHARACTERIZATION</t>
        </is>
      </c>
    </row>
    <row r="25" ht="45" customHeight="1">
      <c r="B25" s="4" t="inlineStr">
        <is>
          <r>
            <rPr>
              <rFont val="Calibri"/>
              <b val="1"/>
              <color rgb="002E2D29"/>
              <sz val="10"/>
            </rPr>
            <t xml:space="preserve">Fact: </t>
          </r>
          <r>
            <rPr>
              <rFont val="Calibri"/>
              <color rgb="002E2D29"/>
              <sz val="10"/>
            </rPr>
            <t>DOE announced up to 171.5 million USD on 2026-02-25, with up to 71.5 million USD for characterization and confirmation of prospects. If such funding narrows, early-stage characterization work loses a source of money. (not confirmed: 171.5, 2026, 2, 25)</t>
          </r>
        </is>
      </c>
    </row>
    <row r="26" ht="15" customHeight="1">
      <c r="B26" s="4" t="inlineStr">
        <is>
          <r>
            <rPr>
              <rFont val="Calibri"/>
              <b val="1"/>
              <color rgb="002E2D29"/>
              <sz val="10"/>
            </rPr>
            <t xml:space="preserve">Not known: </t>
          </r>
          <r>
            <rPr>
              <rFont val="Calibri"/>
              <color rgb="002E2D29"/>
              <sz val="10"/>
            </rPr>
            <t>Future DOE funding rounds and their size: not disclosed.</t>
          </r>
        </is>
      </c>
    </row>
    <row r="27" ht="30" customHeight="1">
      <c r="B27" s="4" t="inlineStr">
        <is>
          <r>
            <rPr>
              <rFont val="Calibri"/>
              <b val="1"/>
              <i val="1"/>
              <color rgb="00808080"/>
              <sz val="10"/>
            </rPr>
            <t xml:space="preserve">Source(s): </t>
          </r>
          <r>
            <rPr>
              <rFont val="Calibri"/>
              <i val="1"/>
              <color rgb="00808080"/>
              <sz val="10"/>
            </rPr>
            <t>S40 Geothermal Drilling Research | Department of Energy; S153 Funding Notice: Next-Generation Geothermal Field Tests and G</t>
          </r>
        </is>
      </c>
    </row>
  </sheetData>
  <mergeCells count="20">
    <mergeCell ref="B7:I7"/>
    <mergeCell ref="B25:I25"/>
    <mergeCell ref="B16:I16"/>
    <mergeCell ref="B22:I22"/>
    <mergeCell ref="B27:I27"/>
    <mergeCell ref="B12:I12"/>
    <mergeCell ref="B21:I21"/>
    <mergeCell ref="B11:I11"/>
    <mergeCell ref="B14:I14"/>
    <mergeCell ref="B17:I17"/>
    <mergeCell ref="B10:I10"/>
    <mergeCell ref="B19:I19"/>
    <mergeCell ref="B9:I9"/>
    <mergeCell ref="B15:I15"/>
    <mergeCell ref="B6:I6"/>
    <mergeCell ref="B24:I24"/>
    <mergeCell ref="B20:I20"/>
    <mergeCell ref="B5:I5"/>
    <mergeCell ref="B4:I4"/>
    <mergeCell ref="B26:I2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I295"/>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Sources</t>
        </is>
      </c>
    </row>
    <row r="2">
      <c r="B2" s="2" t="inlineStr">
        <is>
          <t>subsurface heat mapping for geothermal</t>
        </is>
      </c>
    </row>
    <row r="4" ht="20" customHeight="1">
      <c r="B4" s="3" t="inlineStr">
        <is>
          <t>(1) EVERY SOURCE, ITS RETRIEVAL DATE AND THE CELLS IT SUPPORTS</t>
        </is>
      </c>
    </row>
    <row r="5">
      <c r="B5" s="5" t="inlineStr">
        <is>
          <t>Id</t>
        </is>
      </c>
      <c r="C5" s="5" t="inlineStr">
        <is>
          <t>Title</t>
        </is>
      </c>
      <c r="D5" s="5" t="inlineStr">
        <is>
          <t>URL</t>
        </is>
      </c>
      <c r="E5" s="5" t="inlineStr">
        <is>
          <t>Retrieved</t>
        </is>
      </c>
      <c r="F5" s="5" t="inlineStr">
        <is>
          <t>Page age</t>
        </is>
      </c>
      <c r="G5" s="5" t="inlineStr">
        <is>
          <t>Cells it supports</t>
        </is>
      </c>
    </row>
    <row r="6">
      <c r="B6" s="6" t="inlineStr">
        <is>
          <t>S1</t>
        </is>
      </c>
      <c r="C6" s="6" t="inlineStr">
        <is>
          <t>Zanskar Raises $115 Million to Scale AI-Driven Geothermal Discovery and Power Plant Development - ESG News</t>
        </is>
      </c>
      <c r="D6" s="6" t="inlineStr">
        <is>
          <t>https://esgnews.com/zanskar-raises-115-million-to-scale-ai-driven-geothermal-discovery-and-power-plant-development/</t>
        </is>
      </c>
      <c r="E6" s="6" t="inlineStr">
        <is>
          <t>2026-09-29</t>
        </is>
      </c>
      <c r="F6" s="6" t="inlineStr">
        <is>
          <t>January 23, 2026</t>
        </is>
      </c>
      <c r="G6" s="6" t="inlineStr">
        <is>
          <t>'Scope'!B14:C14; 'Scope'!B16; 'Fundamentals'!B15:F15; 'Fundamentals'!B16:F16; 'Fundamentals'!B18; 'Trends'!B7:F7; 'Trends'!B8:F8; 'Trends'!B9:F9; 'Trends'!B10; 'Landscape'!B7:J7; 'Landscape'!B9; 'Capital'!B7:H7; 'Capital'!B11; 'Risks'!B7</t>
        </is>
      </c>
    </row>
    <row r="7">
      <c r="B7" s="7" t="inlineStr">
        <is>
          <t>S2</t>
        </is>
      </c>
      <c r="C7" s="7" t="inlineStr">
        <is>
          <t>Zanskar raises $115M to support expansion of AI-based geothermal discovery platform</t>
        </is>
      </c>
      <c r="D7" s="7" t="inlineStr">
        <is>
          <t>https://www.thinkgeoenergy.com/zanskar-raises-115m-for-ai-based-geothermal-expansion/</t>
        </is>
      </c>
      <c r="E7" s="7" t="inlineStr">
        <is>
          <t>2026-09-29</t>
        </is>
      </c>
      <c r="F7" s="7" t="inlineStr">
        <is>
          <t>January 24, 2026</t>
        </is>
      </c>
      <c r="G7" s="7" t="inlineStr">
        <is>
          <t>'Scope'!B14:C14; 'Scope'!B16</t>
        </is>
      </c>
    </row>
    <row r="8">
      <c r="B8" s="6" t="inlineStr">
        <is>
          <t>S3</t>
        </is>
      </c>
      <c r="C8" s="6" t="inlineStr">
        <is>
          <t>Private Investors Back Zanskar’s Mission to Harness Hidden Geothermal Resources with AI Technology | Energy Tech</t>
        </is>
      </c>
      <c r="D8" s="6" t="inlineStr">
        <is>
          <t>https://www.energytech.com/renewables/article/55352060/private-investors-back-zanskars-mission-to-harness-hidden-geothermal-resources-with-ai-technology</t>
        </is>
      </c>
      <c r="E8" s="6" t="inlineStr">
        <is>
          <t>2026-09-29</t>
        </is>
      </c>
      <c r="F8" s="6" t="inlineStr"/>
      <c r="G8" s="6" t="inlineStr">
        <is>
          <t>'Capital'!B7:H7; 'Capital'!B11</t>
        </is>
      </c>
    </row>
    <row r="9">
      <c r="B9" s="7" t="inlineStr">
        <is>
          <t>S4</t>
        </is>
      </c>
      <c r="C9" s="7" t="inlineStr">
        <is>
          <t>Geothermal Startup Zanskar Raises $115 Million to Find and Develop Carbon-Free Energy Using AI - ESG Today</t>
        </is>
      </c>
      <c r="D9" s="7" t="inlineStr">
        <is>
          <t>https://www.esgtoday.com/geothermal-startup-zanskar-raises-115-million-to-find-and-develop-carbon-free-energy-using-ai/</t>
        </is>
      </c>
      <c r="E9" s="7" t="inlineStr">
        <is>
          <t>2026-09-29</t>
        </is>
      </c>
      <c r="F9" s="7" t="inlineStr">
        <is>
          <t>January 22, 2026</t>
        </is>
      </c>
      <c r="G9" s="7" t="inlineStr">
        <is>
          <t>searched, not cited in a cell</t>
        </is>
      </c>
    </row>
    <row r="10">
      <c r="B10" s="6" t="inlineStr">
        <is>
          <t>S5</t>
        </is>
      </c>
      <c r="C10" s="6" t="inlineStr">
        <is>
          <t>Zanskar raises $115M Series C following record-setting year of geothermal discoveries – Utah Business</t>
        </is>
      </c>
      <c r="D10" s="6" t="inlineStr">
        <is>
          <t>https://www.utahbusiness.com/press-releases/2026/01/23/zanskar-raises-115-million-series-c-following-year-geothermal-discoveries/</t>
        </is>
      </c>
      <c r="E10" s="6" t="inlineStr">
        <is>
          <t>2026-09-29</t>
        </is>
      </c>
      <c r="F10" s="6" t="inlineStr">
        <is>
          <t>January 24, 2026</t>
        </is>
      </c>
      <c r="G10" s="6" t="inlineStr">
        <is>
          <t>'Scope'!B12:C12; 'Scope'!B16</t>
        </is>
      </c>
    </row>
    <row r="11">
      <c r="B11" s="7" t="inlineStr">
        <is>
          <t>S6</t>
        </is>
      </c>
      <c r="C11" s="7" t="inlineStr">
        <is>
          <t>Armed with $115 million, geothermal startup Zanskar gets ready to build | Latitude Media</t>
        </is>
      </c>
      <c r="D11" s="7" t="inlineStr">
        <is>
          <t>https://www.latitudemedia.com/news/armed-with-115-million-geothermal-startup-zanskar-gets-ready-to-build/</t>
        </is>
      </c>
      <c r="E11" s="7" t="inlineStr">
        <is>
          <t>2026-09-29</t>
        </is>
      </c>
      <c r="F11" s="7" t="inlineStr">
        <is>
          <t>January 21, 2026</t>
        </is>
      </c>
      <c r="G11" s="7" t="inlineStr">
        <is>
          <t>searched, not cited in a cell</t>
        </is>
      </c>
    </row>
    <row r="12">
      <c r="B12" s="6" t="inlineStr">
        <is>
          <t>S7</t>
        </is>
      </c>
      <c r="C12" s="6" t="inlineStr">
        <is>
          <t>Zanskar Raises $115 Million to Scale AI-Driven Geothermal Energy - ESG Tech Report</t>
        </is>
      </c>
      <c r="D12" s="6" t="inlineStr">
        <is>
          <t>https://esgtechreport.com/esg/zanskar-raises-115-million-to-scale-ai-driven-geothermal-energy/</t>
        </is>
      </c>
      <c r="E12" s="6" t="inlineStr">
        <is>
          <t>2026-09-29</t>
        </is>
      </c>
      <c r="F12" s="6" t="inlineStr">
        <is>
          <t>January 24, 2026</t>
        </is>
      </c>
      <c r="G12" s="6" t="inlineStr">
        <is>
          <t>searched, not cited in a cell</t>
        </is>
      </c>
    </row>
    <row r="13">
      <c r="B13" s="7" t="inlineStr">
        <is>
          <t>S8</t>
        </is>
      </c>
      <c r="C13" s="7" t="inlineStr">
        <is>
          <t>Zanskar's AI Uncovers Hidden Geothermal Energy, Secures $115M Funding - News and Statistics - IndexBox</t>
        </is>
      </c>
      <c r="D13" s="7" t="inlineStr">
        <is>
          <t>https://www.indexbox.io/blog/zanskar-raises-115m-for-ai-driven-geothermal-exploration/</t>
        </is>
      </c>
      <c r="E13" s="7" t="inlineStr">
        <is>
          <t>2026-09-29</t>
        </is>
      </c>
      <c r="F13" s="7" t="inlineStr">
        <is>
          <t>January 21, 2026</t>
        </is>
      </c>
      <c r="G13" s="7" t="inlineStr">
        <is>
          <t>searched, not cited in a cell</t>
        </is>
      </c>
    </row>
    <row r="14">
      <c r="B14" s="6" t="inlineStr">
        <is>
          <t>S9</t>
        </is>
      </c>
      <c r="C14" s="6" t="inlineStr">
        <is>
          <t>Zanskar's $115M bet on overlooked geothermal power</t>
        </is>
      </c>
      <c r="D14" s="6" t="inlineStr">
        <is>
          <t>https://www.techbuzz.ai/articles/zanskar-s-115m-bet-on-overlooked-geothermal-power</t>
        </is>
      </c>
      <c r="E14" s="6" t="inlineStr">
        <is>
          <t>2026-09-29</t>
        </is>
      </c>
      <c r="F14" s="6" t="inlineStr">
        <is>
          <t>January 21, 2026</t>
        </is>
      </c>
      <c r="G14" s="6" t="inlineStr">
        <is>
          <t>searched, not cited in a cell</t>
        </is>
      </c>
    </row>
    <row r="15">
      <c r="B15" s="7" t="inlineStr">
        <is>
          <t>S10</t>
        </is>
      </c>
      <c r="C15" s="7" t="inlineStr">
        <is>
          <t>Zanskar Raises $115 Million to Scale AI-Driven Geothermal Discovery and Power Plant Development – ESG Investing</t>
        </is>
      </c>
      <c r="D15" s="7" t="inlineStr">
        <is>
          <t>https://esg-investing.com/2026/01/23/zanskar-raises-115-million-to-scale-ai-driven-geothermal-discovery-and-power-plant-development/</t>
        </is>
      </c>
      <c r="E15" s="7" t="inlineStr">
        <is>
          <t>2026-09-29</t>
        </is>
      </c>
      <c r="F15" s="7" t="inlineStr"/>
      <c r="G15" s="7" t="inlineStr">
        <is>
          <t>searched, not cited in a cell</t>
        </is>
      </c>
    </row>
    <row r="16">
      <c r="B16" s="6" t="inlineStr">
        <is>
          <t>S11</t>
        </is>
      </c>
      <c r="C16" s="6" t="inlineStr">
        <is>
          <t>Zanskar announces discovery of Big Blind geothermal site in western Nevada, USA</t>
        </is>
      </c>
      <c r="D16" s="6" t="inlineStr">
        <is>
          <t>https://www.thinkgeoenergy.com/zanskar-announces-discovery-of-big-blind-geothermal-site-in-western-nevada-usa/</t>
        </is>
      </c>
      <c r="E16" s="6" t="inlineStr">
        <is>
          <t>2026-09-29</t>
        </is>
      </c>
      <c r="F16" s="6" t="inlineStr">
        <is>
          <t>December 4, 2025</t>
        </is>
      </c>
      <c r="G16" s="6" t="inlineStr">
        <is>
          <t>searched, not cited in a cell</t>
        </is>
      </c>
    </row>
    <row r="17">
      <c r="B17" s="7" t="inlineStr">
        <is>
          <t>S12</t>
        </is>
      </c>
      <c r="C17" s="7" t="inlineStr">
        <is>
          <t>Zanskar Reveals 'Big Blind' - The Discovery of the First Blind ...</t>
        </is>
      </c>
      <c r="D17" s="7" t="inlineStr">
        <is>
          <t>https://zanskargeothermal.substack.com/p/zanskar-reveals-big-blind-the-discovery</t>
        </is>
      </c>
      <c r="E17" s="7" t="inlineStr">
        <is>
          <t>2026-09-29</t>
        </is>
      </c>
      <c r="F17" s="7" t="inlineStr">
        <is>
          <t>December 4, 2025</t>
        </is>
      </c>
      <c r="G17" s="7" t="inlineStr">
        <is>
          <t>searched, not cited in a cell</t>
        </is>
      </c>
    </row>
    <row r="18">
      <c r="B18" s="6" t="inlineStr">
        <is>
          <t>S13</t>
        </is>
      </c>
      <c r="C18" s="6" t="inlineStr">
        <is>
          <t>Zanskar Reveals 'Big Blind' - The Discovery of the First ...</t>
        </is>
      </c>
      <c r="D18" s="6" t="inlineStr">
        <is>
          <t>https://finance.yahoo.com/news/zanskar-reveals-big-blind-discovery-130000052.html</t>
        </is>
      </c>
      <c r="E18" s="6" t="inlineStr">
        <is>
          <t>2026-09-29</t>
        </is>
      </c>
      <c r="F18" s="6" t="inlineStr">
        <is>
          <t>December 4, 2025</t>
        </is>
      </c>
      <c r="G18" s="6" t="inlineStr">
        <is>
          <t>'Scope'!B13:C13; 'Scope'!B16; 'Trends'!B30:D30; 'Trends'!B31:D31; 'Trends'!B32:D32; 'Trends'!B33:D33; 'Trends'!B34:D34; 'Trends'!B35:D35; 'Trends'!B36:D36; 'Trends'!B52; 'Risks'!B12</t>
        </is>
      </c>
    </row>
    <row r="19">
      <c r="B19" s="7" t="inlineStr">
        <is>
          <t>S14</t>
        </is>
      </c>
      <c r="C19" s="7" t="inlineStr">
        <is>
          <t>Finding and Proving Up 'Big Blind'; Zanskar's Third Deep Discovery Within the Last Year</t>
        </is>
      </c>
      <c r="D19" s="7" t="inlineStr">
        <is>
          <t>https://zanskargeothermal.substack.com/p/zanskar-proves-first-blind-geothermal</t>
        </is>
      </c>
      <c r="E19" s="7" t="inlineStr">
        <is>
          <t>2026-09-29</t>
        </is>
      </c>
      <c r="F19" s="7" t="inlineStr">
        <is>
          <t>December 5, 2025</t>
        </is>
      </c>
      <c r="G19" s="7" t="inlineStr">
        <is>
          <t>'Trends'!B30:D30; 'Trends'!B31:D31; 'Trends'!B32:D32; 'Trends'!B33:D33; 'Trends'!B34:D34; 'Trends'!B35:D35; 'Trends'!B36:D36; 'Trends'!B52; 'Risks'!B12</t>
        </is>
      </c>
    </row>
    <row r="20">
      <c r="B20" s="6" t="inlineStr">
        <is>
          <t>S15</t>
        </is>
      </c>
      <c r="C20" s="6" t="inlineStr">
        <is>
          <t>Zanskar Reveals Discovery of First Blind Geothermal System in U.S. In Over 30 Years</t>
        </is>
      </c>
      <c r="D20" s="6" t="inlineStr">
        <is>
          <t>https://www.renewableenergymagazine.com/geothermal/zanskar-reveals-discovery-of-first-blind-geothermal-20251204</t>
        </is>
      </c>
      <c r="E20" s="6" t="inlineStr">
        <is>
          <t>2026-09-29</t>
        </is>
      </c>
      <c r="F20" s="6" t="inlineStr">
        <is>
          <t>December 4, 2025</t>
        </is>
      </c>
      <c r="G20" s="6" t="inlineStr">
        <is>
          <t>searched, not cited in a cell</t>
        </is>
      </c>
    </row>
    <row r="21">
      <c r="B21" s="7" t="inlineStr">
        <is>
          <t>S16</t>
        </is>
      </c>
      <c r="C21" s="7" t="inlineStr">
        <is>
          <t>Zanskar Announces Discovery of Big Blind Geothermal Site in Western Nevada, USA - World-Energy</t>
        </is>
      </c>
      <c r="D21" s="7" t="inlineStr">
        <is>
          <t>https://www.world-energy.org/article/54693.html</t>
        </is>
      </c>
      <c r="E21" s="7" t="inlineStr">
        <is>
          <t>2026-09-29</t>
        </is>
      </c>
      <c r="F21" s="7" t="inlineStr">
        <is>
          <t>December 6, 2025</t>
        </is>
      </c>
      <c r="G21" s="7" t="inlineStr">
        <is>
          <t>searched, not cited in a cell</t>
        </is>
      </c>
    </row>
    <row r="22">
      <c r="B22" s="6" t="inlineStr">
        <is>
          <t>S17</t>
        </is>
      </c>
      <c r="C22" s="6" t="inlineStr">
        <is>
          <t>Zanskar Reveals ‘Big Blind’ - The Discovery of the First Blind Geothermal System in the U.S. by Industry in Over 30 Years</t>
        </is>
      </c>
      <c r="D22" s="6" t="inlineStr">
        <is>
          <t>https://fox5sandiego.com/business/press-releases/globenewswire/9596561/zanskar-reveals-big-blind-the-discovery-of-the-first-blind-geothermal-system-in-the-u-s-by-industry-in-over-30-years/</t>
        </is>
      </c>
      <c r="E22" s="6" t="inlineStr">
        <is>
          <t>2026-09-29</t>
        </is>
      </c>
      <c r="F22" s="6" t="inlineStr">
        <is>
          <t>December 4, 2025</t>
        </is>
      </c>
      <c r="G22" s="6" t="inlineStr">
        <is>
          <t>'Scope'!B13:C13; 'Scope'!B16</t>
        </is>
      </c>
    </row>
    <row r="23">
      <c r="B23" s="7" t="inlineStr">
        <is>
          <t>S18</t>
        </is>
      </c>
      <c r="C23" s="7" t="inlineStr">
        <is>
          <t>Zanskar Reveals ‘Big Blind’ - The Discovery of the First Blind Geothermal System in the U.S. by ... | Bay to Bay News</t>
        </is>
      </c>
      <c r="D23" s="7" t="inlineStr">
        <is>
          <t>https://baytobaynews.com/daily-state-news/stories/zanskar-reveals-big-blind-the-discovery-of-the-first-blind-geothermal-system-in-the-us-by,275569</t>
        </is>
      </c>
      <c r="E23" s="7" t="inlineStr">
        <is>
          <t>2026-09-29</t>
        </is>
      </c>
      <c r="F23" s="7" t="inlineStr">
        <is>
          <t>December 4, 2025</t>
        </is>
      </c>
      <c r="G23" s="7" t="inlineStr">
        <is>
          <t>searched, not cited in a cell</t>
        </is>
      </c>
    </row>
    <row r="24">
      <c r="B24" s="6" t="inlineStr">
        <is>
          <t>S19</t>
        </is>
      </c>
      <c r="C24" s="6" t="inlineStr">
        <is>
          <t>Meet 'Big Blind': First U.S. Blind Geothermal System Discovered in over 30 Years</t>
        </is>
      </c>
      <c r="D24" s="6" t="inlineStr">
        <is>
          <t>https://dailygalaxy.com/2025/12/first-blind-geothermal-system-us-zanskar-big-blind/</t>
        </is>
      </c>
      <c r="E24" s="6" t="inlineStr">
        <is>
          <t>2026-09-29</t>
        </is>
      </c>
      <c r="F24" s="6" t="inlineStr">
        <is>
          <t>December 5, 2025</t>
        </is>
      </c>
      <c r="G24" s="6" t="inlineStr">
        <is>
          <t>searched, not cited in a cell</t>
        </is>
      </c>
    </row>
    <row r="25">
      <c r="B25" s="7" t="inlineStr">
        <is>
          <t>S20</t>
        </is>
      </c>
      <c r="C25" s="7" t="inlineStr">
        <is>
          <t>Geothermal Resource Investigations Project | U.S. Geological Survey</t>
        </is>
      </c>
      <c r="D25" s="7" t="inlineStr">
        <is>
          <t>https://www.usgs.gov/centers/gmeg/science/geothermal-resource-investigations-project</t>
        </is>
      </c>
      <c r="E25" s="7" t="inlineStr">
        <is>
          <t>2026-09-29</t>
        </is>
      </c>
      <c r="F25" s="7" t="inlineStr"/>
      <c r="G25" s="7" t="inlineStr">
        <is>
          <t>'Scope'!B10:C10; 'Scope'!B16</t>
        </is>
      </c>
    </row>
    <row r="26">
      <c r="B26" s="6" t="inlineStr">
        <is>
          <t>S21</t>
        </is>
      </c>
      <c r="C26" s="6" t="inlineStr">
        <is>
          <t xml:space="preserve">Geothermal resource favorability: select features and predictions for the United States Great Basin curated for DOI 10.1016/j.geothermics.2025.103450 </t>
        </is>
      </c>
      <c r="D26" s="6" t="inlineStr">
        <is>
          <t>https://www.usgs.gov/data/geothermal-resource-favorability-select-features-and-predictions-united-states-great-basin</t>
        </is>
      </c>
      <c r="E26" s="6" t="inlineStr">
        <is>
          <t>2026-09-29</t>
        </is>
      </c>
      <c r="F26" s="6" t="inlineStr"/>
      <c r="G26" s="6" t="inlineStr">
        <is>
          <t>'Scope'!B6; 'Scope'!B10:C10; 'Scope'!B16; 'Trends'!B23:C23; 'Trends'!B24:C24; 'Trends'!B25; 'Risks'!B22</t>
        </is>
      </c>
    </row>
    <row r="27">
      <c r="B27" s="7" t="inlineStr">
        <is>
          <t>S22</t>
        </is>
      </c>
      <c r="C27" s="7" t="inlineStr">
        <is>
          <t>Data Estimating Enhanced Geothermal Systems (EGS) Electric-Resources for the Great Basin, USA - ScienceBase-Catalog</t>
        </is>
      </c>
      <c r="D27" s="7" t="inlineStr">
        <is>
          <t>https://www.sciencebase.gov/catalog/item/67fff09dd4be020983e9ffff</t>
        </is>
      </c>
      <c r="E27" s="7" t="inlineStr">
        <is>
          <t>2026-09-29</t>
        </is>
      </c>
      <c r="F27" s="7" t="inlineStr"/>
      <c r="G27" s="7" t="inlineStr">
        <is>
          <t>'Scope'!B6; 'Scope'!B10:C10; 'Scope'!B16; 'Trends'!B23:C23; 'Trends'!B24:C24; 'Trends'!B25; 'Risks'!B22</t>
        </is>
      </c>
    </row>
    <row r="28">
      <c r="B28" s="6" t="inlineStr">
        <is>
          <t>S23</t>
        </is>
      </c>
      <c r="C28" s="6" t="inlineStr">
        <is>
          <t>Estimation of the accessible and useful resource base for electric-grade enhanced geothermal systems (EGS) resources of the Great Basin, USA | U.S. Ge</t>
        </is>
      </c>
      <c r="D28" s="6" t="inlineStr">
        <is>
          <t>https://www.usgs.gov/publications/estimation-accessible-and-useful-resource-base-electric-grade-enhanced-geothermal</t>
        </is>
      </c>
      <c r="E28" s="6" t="inlineStr">
        <is>
          <t>2026-09-29</t>
        </is>
      </c>
      <c r="F28" s="6" t="inlineStr"/>
      <c r="G28" s="6" t="inlineStr">
        <is>
          <t>searched, not cited in a cell</t>
        </is>
      </c>
    </row>
    <row r="29">
      <c r="B29" s="7" t="inlineStr">
        <is>
          <t>S24</t>
        </is>
      </c>
      <c r="C29" s="7" t="inlineStr">
        <is>
          <t>pubs.usgs.gov</t>
        </is>
      </c>
      <c r="D29" s="7" t="inlineStr">
        <is>
          <t>https://pubs.usgs.gov/fs/2025/3027/fs20253027.pdf</t>
        </is>
      </c>
      <c r="E29" s="7" t="inlineStr">
        <is>
          <t>2026-09-29</t>
        </is>
      </c>
      <c r="F29" s="7" t="inlineStr"/>
      <c r="G29" s="7" t="inlineStr">
        <is>
          <t>searched, not cited in a cell</t>
        </is>
      </c>
    </row>
    <row r="30">
      <c r="B30" s="6" t="inlineStr">
        <is>
          <t>S25</t>
        </is>
      </c>
      <c r="C30" s="6" t="inlineStr">
        <is>
          <t>Enhanced geothermal systems electric-resource assessment for the Great Basin, southwestern United States</t>
        </is>
      </c>
      <c r="D30" s="6" t="inlineStr">
        <is>
          <t>https://www.usgs.gov/publications/enhanced-geothermal-systems-electric-resource-assessment-great-basin-southwestern</t>
        </is>
      </c>
      <c r="E30" s="6" t="inlineStr">
        <is>
          <t>2026-09-29</t>
        </is>
      </c>
      <c r="F30" s="6" t="inlineStr"/>
      <c r="G30" s="6" t="inlineStr">
        <is>
          <t>searched, not cited in a cell</t>
        </is>
      </c>
    </row>
    <row r="31">
      <c r="B31" s="7" t="inlineStr">
        <is>
          <t>S26</t>
        </is>
      </c>
      <c r="C31" s="7" t="inlineStr">
        <is>
          <t>update 2008 provisional enhanced geothermal systems egs assessment great basin usa</t>
        </is>
      </c>
      <c r="D31" s="7" t="inlineStr">
        <is>
          <t>https://www.usgs.gov/publications/update-2008-provisional-enhanced-geothermal-systems-egs-assessment-great-basin-usa</t>
        </is>
      </c>
      <c r="E31" s="7" t="inlineStr">
        <is>
          <t>2026-09-29</t>
        </is>
      </c>
      <c r="F31" s="7" t="inlineStr"/>
      <c r="G31" s="7" t="inlineStr">
        <is>
          <t>searched, not cited in a cell</t>
        </is>
      </c>
    </row>
    <row r="32">
      <c r="B32" s="6" t="inlineStr">
        <is>
          <t>S27</t>
        </is>
      </c>
      <c r="C32" s="6" t="inlineStr">
        <is>
          <t>Enhanced Geothermal Systems Electric-Resource Assessment for the Great Basin, Southwestern United States</t>
        </is>
      </c>
      <c r="D32" s="6" t="inlineStr">
        <is>
          <t>https://pubs.usgs.gov/publication/fs20253027</t>
        </is>
      </c>
      <c r="E32" s="6" t="inlineStr">
        <is>
          <t>2026-09-29</t>
        </is>
      </c>
      <c r="F32" s="6" t="inlineStr"/>
      <c r="G32" s="6" t="inlineStr">
        <is>
          <t>searched, not cited in a cell</t>
        </is>
      </c>
    </row>
    <row r="33">
      <c r="B33" s="7" t="inlineStr">
        <is>
          <t>S28</t>
        </is>
      </c>
      <c r="C33" s="7" t="inlineStr">
        <is>
          <t>exploration blind geothermal systems eastern great basin utah update lund north</t>
        </is>
      </c>
      <c r="D33" s="7" t="inlineStr">
        <is>
          <t>https://www.usgs.gov/publications/exploration-blind-geothermal-systems-eastern-great-basin-utah-update-lund-north</t>
        </is>
      </c>
      <c r="E33" s="7" t="inlineStr">
        <is>
          <t>2026-09-29</t>
        </is>
      </c>
      <c r="F33" s="7" t="inlineStr"/>
      <c r="G33" s="7" t="inlineStr">
        <is>
          <t>searched, not cited in a cell</t>
        </is>
      </c>
    </row>
    <row r="34">
      <c r="B34" s="6" t="inlineStr">
        <is>
          <t>S29</t>
        </is>
      </c>
      <c r="C34" s="6" t="inlineStr">
        <is>
          <t>record detail</t>
        </is>
      </c>
      <c r="D34" s="6" t="inlineStr">
        <is>
          <t>https://pangea.stanford.edu/ERE/db/IGAstandard/record_detail.php?id=37983</t>
        </is>
      </c>
      <c r="E34" s="6" t="inlineStr">
        <is>
          <t>2026-09-29</t>
        </is>
      </c>
      <c r="F34" s="6" t="inlineStr"/>
      <c r="G34" s="6" t="inlineStr">
        <is>
          <t>searched, not cited in a cell</t>
        </is>
      </c>
    </row>
    <row r="35">
      <c r="B35" s="7" t="inlineStr">
        <is>
          <t>S30</t>
        </is>
      </c>
      <c r="C35" s="7" t="inlineStr">
        <is>
          <t>Fervo Energy Secures $421 Million in Non-Recourse Project Financing for Cape Station</t>
        </is>
      </c>
      <c r="D35" s="7" t="inlineStr">
        <is>
          <t>https://finance.yahoo.com/sectors/energy/articles/fervo-energy-secures-421-million-110000149.html</t>
        </is>
      </c>
      <c r="E35" s="7" t="inlineStr">
        <is>
          <t>2026-09-29</t>
        </is>
      </c>
      <c r="F35" s="7" t="inlineStr">
        <is>
          <t>March 19, 2026</t>
        </is>
      </c>
      <c r="G35" s="7" t="inlineStr">
        <is>
          <t>searched, not cited in a cell</t>
        </is>
      </c>
    </row>
    <row r="36">
      <c r="B36" s="6" t="inlineStr">
        <is>
          <t>S31</t>
        </is>
      </c>
      <c r="C36" s="6" t="inlineStr">
        <is>
          <t>Fervo Energy</t>
        </is>
      </c>
      <c r="D36" s="6" t="inlineStr">
        <is>
          <t>https://en.wikipedia.org/wiki/Fervo_Energy</t>
        </is>
      </c>
      <c r="E36" s="6" t="inlineStr">
        <is>
          <t>2026-09-29</t>
        </is>
      </c>
      <c r="F36" s="6" t="inlineStr"/>
      <c r="G36" s="6" t="inlineStr">
        <is>
          <t>searched, not cited in a cell</t>
        </is>
      </c>
    </row>
    <row r="37">
      <c r="B37" s="7" t="inlineStr">
        <is>
          <t>S32</t>
        </is>
      </c>
      <c r="C37" s="7" t="inlineStr">
        <is>
          <t>Fervo Energy Secures $421 Million in Non-Recourse Project Financing for Cape Station - Fervo Energy</t>
        </is>
      </c>
      <c r="D37" s="7" t="inlineStr">
        <is>
          <t>https://fervoenergy.com/fervo-energy-secures-421-million-in-non-recourse-project-financing-for-cape-station/</t>
        </is>
      </c>
      <c r="E37" s="7" t="inlineStr">
        <is>
          <t>2026-09-29</t>
        </is>
      </c>
      <c r="F37" s="7" t="inlineStr">
        <is>
          <t>April 17, 2026</t>
        </is>
      </c>
      <c r="G37" s="7" t="inlineStr">
        <is>
          <t>'Trends'!B57:D57; 'Trends'!B58:D58; 'Trends'!B59:D59; 'Trends'!B60:D60; 'Trends'!B61; 'Capital'!B9:H9; 'Capital'!B11</t>
        </is>
      </c>
    </row>
    <row r="38">
      <c r="B38" s="6" t="inlineStr">
        <is>
          <t>S33</t>
        </is>
      </c>
      <c r="C38" s="6" t="inlineStr">
        <is>
          <t>Fervo Energy Secures $206 Million In New Financing To Accelerate Cape Station Development - Fervo Energy</t>
        </is>
      </c>
      <c r="D38" s="6" t="inlineStr">
        <is>
          <t>https://fervoenergy.com/fervo-secures-new-financing-to-accelerate-development/</t>
        </is>
      </c>
      <c r="E38" s="6" t="inlineStr">
        <is>
          <t>2026-09-29</t>
        </is>
      </c>
      <c r="F38" s="6" t="inlineStr">
        <is>
          <t>April 17, 2026</t>
        </is>
      </c>
      <c r="G38" s="6" t="inlineStr">
        <is>
          <t>'Trends'!B57:D57; 'Trends'!B58:D58; 'Trends'!B59:D59; 'Trends'!B60:D60; 'Trends'!B61; 'Capital'!B10:H10; 'Capital'!B11</t>
        </is>
      </c>
    </row>
    <row r="39">
      <c r="B39" s="7" t="inlineStr">
        <is>
          <t>S34</t>
        </is>
      </c>
      <c r="C39" s="7" t="inlineStr">
        <is>
          <t>Fervo Energy Secures More Funding for Cape Station Geothermal Project</t>
        </is>
      </c>
      <c r="D39" s="7" t="inlineStr">
        <is>
          <t>https://www.powermag.com/fervo-energy-secures-more-funding-for-cape-station-geothermal-project/</t>
        </is>
      </c>
      <c r="E39" s="7" t="inlineStr">
        <is>
          <t>2026-09-29</t>
        </is>
      </c>
      <c r="F39" s="7" t="inlineStr">
        <is>
          <t>March 19, 2026</t>
        </is>
      </c>
      <c r="G39" s="7" t="inlineStr">
        <is>
          <t>searched, not cited in a cell</t>
        </is>
      </c>
    </row>
    <row r="40">
      <c r="B40" s="6" t="inlineStr">
        <is>
          <t>S35</t>
        </is>
      </c>
      <c r="C40" s="6" t="inlineStr">
        <is>
          <t>Fervo Energy’s $1.89 Billion IPO Turns Utah’s Cape Station Into a Public-Market Geothermal Test Case</t>
        </is>
      </c>
      <c r="D40" s="6" t="inlineStr">
        <is>
          <t>https://www.utahmoneywatch.com/fervo-energys-1-89-billion-ipo-turns-utahs-cape-station-into-a-public-market-geothermal-test-case/</t>
        </is>
      </c>
      <c r="E40" s="6" t="inlineStr">
        <is>
          <t>2026-09-29</t>
        </is>
      </c>
      <c r="F40" s="6" t="inlineStr">
        <is>
          <t>May 14, 2026</t>
        </is>
      </c>
      <c r="G40" s="6" t="inlineStr">
        <is>
          <t>searched, not cited in a cell</t>
        </is>
      </c>
    </row>
    <row r="41">
      <c r="B41" s="7" t="inlineStr">
        <is>
          <t>S36</t>
        </is>
      </c>
      <c r="C41" s="7" t="inlineStr">
        <is>
          <t>Fervo Energy Secures $421M for Cape Station Project - Ventureburn</t>
        </is>
      </c>
      <c r="D41" s="7" t="inlineStr">
        <is>
          <t>https://ventureburn.com/fervo-energy-secures-421m-for-cape-station-project/</t>
        </is>
      </c>
      <c r="E41" s="7" t="inlineStr">
        <is>
          <t>2026-09-29</t>
        </is>
      </c>
      <c r="F41" s="7" t="inlineStr">
        <is>
          <t>March 19, 2026</t>
        </is>
      </c>
      <c r="G41" s="7" t="inlineStr">
        <is>
          <t>searched, not cited in a cell</t>
        </is>
      </c>
    </row>
    <row r="42">
      <c r="B42" s="6" t="inlineStr">
        <is>
          <t>S37</t>
        </is>
      </c>
      <c r="C42" s="6" t="inlineStr">
        <is>
          <t>FinancialContent - Fervo Energy Secures $421 Million in Non-Recourse Project Financing for Cape Station</t>
        </is>
      </c>
      <c r="D42" s="6" t="inlineStr">
        <is>
          <t>https://markets.financialcontent.com/stocks/article/bizwire-2026-3-19-fervo-energy-secures-421-million-in-non-recourse-project-financing-for-cape-station</t>
        </is>
      </c>
      <c r="E42" s="6" t="inlineStr">
        <is>
          <t>2026-09-29</t>
        </is>
      </c>
      <c r="F42" s="6" t="inlineStr">
        <is>
          <t>March 19, 2026</t>
        </is>
      </c>
      <c r="G42" s="6" t="inlineStr">
        <is>
          <t>searched, not cited in a cell</t>
        </is>
      </c>
    </row>
    <row r="43">
      <c r="B43" s="7" t="inlineStr">
        <is>
          <t>S38</t>
        </is>
      </c>
      <c r="C43" s="7" t="inlineStr">
        <is>
          <t>www.businesswire.com</t>
        </is>
      </c>
      <c r="D43" s="7" t="inlineStr">
        <is>
          <t>https://www.businesswire.com/news/home/20250611330437/en</t>
        </is>
      </c>
      <c r="E43" s="7" t="inlineStr">
        <is>
          <t>2026-09-29</t>
        </is>
      </c>
      <c r="F43" s="7" t="inlineStr"/>
      <c r="G43" s="7" t="inlineStr">
        <is>
          <t>'Trends'!B57:D57; 'Trends'!B58:D58; 'Trends'!B59:D59; 'Trends'!B60:D60; 'Trends'!B61; 'Capital'!B10:H10; 'Capital'!B11</t>
        </is>
      </c>
    </row>
    <row r="44">
      <c r="B44" s="6" t="inlineStr">
        <is>
          <t>S39</t>
        </is>
      </c>
      <c r="C44" s="6" t="inlineStr">
        <is>
          <t>GeoThermalCloud: Machine Learning for Geothermal Resource Exploration</t>
        </is>
      </c>
      <c r="D44" s="6" t="inlineStr">
        <is>
          <t>https://arxiv.org/pdf/2210.08685</t>
        </is>
      </c>
      <c r="E44" s="6" t="inlineStr">
        <is>
          <t>2026-09-29</t>
        </is>
      </c>
      <c r="F44" s="6" t="inlineStr"/>
      <c r="G44" s="6" t="inlineStr">
        <is>
          <t>searched, not cited in a cell</t>
        </is>
      </c>
    </row>
    <row r="45">
      <c r="B45" s="7" t="inlineStr">
        <is>
          <t>S40</t>
        </is>
      </c>
      <c r="C45" s="7" t="inlineStr">
        <is>
          <t>Geothermal Drilling Research | Department of Energy</t>
        </is>
      </c>
      <c r="D45" s="7" t="inlineStr">
        <is>
          <t>https://www.energy.gov/hgeo/geothermal/geothermal-drilling-research</t>
        </is>
      </c>
      <c r="E45" s="7" t="inlineStr">
        <is>
          <t>2026-09-29</t>
        </is>
      </c>
      <c r="F45" s="7" t="inlineStr">
        <is>
          <t>1 month ago</t>
        </is>
      </c>
      <c r="G45" s="7" t="inlineStr">
        <is>
          <t>'Trends'!B15:D15; 'Trends'!B16:D16; 'Trends'!B17:D17; 'Trends'!B18; 'Risks'!B27</t>
        </is>
      </c>
    </row>
    <row r="46">
      <c r="B46" s="6" t="inlineStr">
        <is>
          <t>S41</t>
        </is>
      </c>
      <c r="C46" s="6" t="inlineStr">
        <is>
          <t>Hidden Systems | Department of Energy</t>
        </is>
      </c>
      <c r="D46" s="6" t="inlineStr">
        <is>
          <t>https://www.energy.gov/eere/geothermal/hidden-systems</t>
        </is>
      </c>
      <c r="E46" s="6" t="inlineStr">
        <is>
          <t>2026-09-29</t>
        </is>
      </c>
      <c r="F46" s="6" t="inlineStr"/>
      <c r="G46" s="6" t="inlineStr">
        <is>
          <t>'Scope'!B6</t>
        </is>
      </c>
    </row>
    <row r="47">
      <c r="B47" s="7" t="inlineStr">
        <is>
          <t>S42</t>
        </is>
      </c>
      <c r="C47" s="7" t="inlineStr">
        <is>
          <t>Exploration and Characterization | Department of Energy</t>
        </is>
      </c>
      <c r="D47" s="7" t="inlineStr">
        <is>
          <t>https://www.energy.gov/hgeo/geothermal/exploration-and-characterization</t>
        </is>
      </c>
      <c r="E47" s="7" t="inlineStr">
        <is>
          <t>2026-09-29</t>
        </is>
      </c>
      <c r="F47" s="7" t="inlineStr">
        <is>
          <t>August 4, 2026</t>
        </is>
      </c>
      <c r="G47" s="7" t="inlineStr">
        <is>
          <t>'Scope'!B6; 'Scope'!B11:C11; 'Scope'!B16</t>
        </is>
      </c>
    </row>
    <row r="48">
      <c r="B48" s="6" t="inlineStr">
        <is>
          <t>S43</t>
        </is>
      </c>
      <c r="C48" s="6" t="inlineStr">
        <is>
          <t>Geothermal | Electricity | 2024 | ATB | NLR</t>
        </is>
      </c>
      <c r="D48" s="6" t="inlineStr">
        <is>
          <t>https://atb.nrel.gov/electricity/2024/geothermal</t>
        </is>
      </c>
      <c r="E48" s="6" t="inlineStr">
        <is>
          <t>2026-09-29</t>
        </is>
      </c>
      <c r="F48" s="6" t="inlineStr"/>
      <c r="G48" s="6" t="inlineStr">
        <is>
          <t>searched, not cited in a cell</t>
        </is>
      </c>
    </row>
    <row r="49">
      <c r="B49" s="7" t="inlineStr">
        <is>
          <t>S44</t>
        </is>
      </c>
      <c r="C49" s="7" t="inlineStr">
        <is>
          <t>Searching for Answers Below the Surface: Hidden Systems Exploration Uncovers Geothermal Energy Potential | Department of Energy</t>
        </is>
      </c>
      <c r="D49" s="7" t="inlineStr">
        <is>
          <t>https://www.energy.gov/hgeo/geothermal/articles/searching-answers-below-surface-hidden-systems-exploration-uncovers</t>
        </is>
      </c>
      <c r="E49" s="7" t="inlineStr">
        <is>
          <t>2026-09-29</t>
        </is>
      </c>
      <c r="F49" s="7" t="inlineStr">
        <is>
          <t>July 25, 2026</t>
        </is>
      </c>
      <c r="G49" s="7" t="inlineStr">
        <is>
          <t>searched, not cited in a cell</t>
        </is>
      </c>
    </row>
    <row r="50">
      <c r="B50" s="6" t="inlineStr">
        <is>
          <t>S45</t>
        </is>
      </c>
      <c r="C50" s="6" t="inlineStr">
        <is>
          <t>Refining the Definition of a Geothermal Exploration Success Rate - National Renewable Energy Laboratory</t>
        </is>
      </c>
      <c r="D50" s="6" t="inlineStr">
        <is>
          <t>https://research-hub.nrel.gov/en/publications/refining-the-definition-of-a-geothermal-exploration-success-rate</t>
        </is>
      </c>
      <c r="E50" s="6" t="inlineStr">
        <is>
          <t>2026-09-29</t>
        </is>
      </c>
      <c r="F50" s="6" t="inlineStr"/>
      <c r="G50" s="6" t="inlineStr">
        <is>
          <t>searched, not cited in a cell</t>
        </is>
      </c>
    </row>
    <row r="51">
      <c r="B51" s="7" t="inlineStr">
        <is>
          <t>S46</t>
        </is>
      </c>
      <c r="C51" s="7" t="inlineStr">
        <is>
          <t>Department of Energy Selects 5 Projects to Receive up to $28 Million for Geothermal Energy Research</t>
        </is>
      </c>
      <c r="D51" s="7" t="inlineStr">
        <is>
          <t>https://www.energy.gov/node/4514392</t>
        </is>
      </c>
      <c r="E51" s="7" t="inlineStr">
        <is>
          <t>2026-09-29</t>
        </is>
      </c>
      <c r="F51" s="7" t="inlineStr"/>
      <c r="G51" s="7" t="inlineStr">
        <is>
          <t>searched, not cited in a cell</t>
        </is>
      </c>
    </row>
    <row r="52">
      <c r="B52" s="6" t="inlineStr">
        <is>
          <t>S47</t>
        </is>
      </c>
      <c r="C52" s="6" t="inlineStr">
        <is>
          <t>analysis young exploration best practices</t>
        </is>
      </c>
      <c r="D52" s="6" t="inlineStr">
        <is>
          <t>https://www.energy.gov/sites/default/files/2014/02/f7/analysis_young_exploration_best_practices.pdf</t>
        </is>
      </c>
      <c r="E52" s="6" t="inlineStr">
        <is>
          <t>2026-09-29</t>
        </is>
      </c>
      <c r="F52" s="6" t="inlineStr"/>
      <c r="G52" s="6" t="inlineStr">
        <is>
          <t>searched, not cited in a cell</t>
        </is>
      </c>
    </row>
    <row r="53">
      <c r="B53" s="7" t="inlineStr">
        <is>
          <t>S48</t>
        </is>
      </c>
      <c r="C53" s="7" t="inlineStr">
        <is>
          <t>Executive summary – The Future of Geothermal Energy – Analysis - IEA</t>
        </is>
      </c>
      <c r="D53" s="7" t="inlineStr">
        <is>
          <t>https://www.iea.org/reports/the-future-of-geothermal-energy/executive-summary</t>
        </is>
      </c>
      <c r="E53" s="7" t="inlineStr">
        <is>
          <t>2026-09-29</t>
        </is>
      </c>
      <c r="F53" s="7" t="inlineStr"/>
      <c r="G53" s="7" t="inlineStr">
        <is>
          <t>searched, not cited in a cell</t>
        </is>
      </c>
    </row>
    <row r="54">
      <c r="B54" s="6" t="inlineStr">
        <is>
          <t>S49</t>
        </is>
      </c>
      <c r="C54" s="6" t="inlineStr">
        <is>
          <t>Drilling Down What it Will Take to Harness the Potential of Next-Generation</t>
        </is>
      </c>
      <c r="D54" s="6" t="inlineStr">
        <is>
          <t>https://www.c2es.org/wp-content/uploads/2026/04/drilling-down-on-next-gen-geothermal-technology.pdf</t>
        </is>
      </c>
      <c r="E54" s="6" t="inlineStr">
        <is>
          <t>2026-09-29</t>
        </is>
      </c>
      <c r="F54" s="6" t="inlineStr"/>
      <c r="G54" s="6" t="inlineStr">
        <is>
          <t>searched, not cited in a cell</t>
        </is>
      </c>
    </row>
    <row r="55">
      <c r="B55" s="7" t="inlineStr">
        <is>
          <t>S50</t>
        </is>
      </c>
      <c r="C55" s="7" t="inlineStr">
        <is>
          <t>Project InnerSpace | Unlock our most abundant source of clean energy</t>
        </is>
      </c>
      <c r="D55" s="7" t="inlineStr">
        <is>
          <t>https://projectinnerspace.org/</t>
        </is>
      </c>
      <c r="E55" s="7" t="inlineStr">
        <is>
          <t>2026-09-29</t>
        </is>
      </c>
      <c r="F55" s="7" t="inlineStr"/>
      <c r="G55" s="7" t="inlineStr">
        <is>
          <t>searched, not cited in a cell</t>
        </is>
      </c>
    </row>
    <row r="56">
      <c r="B56" s="6" t="inlineStr">
        <is>
          <t>S51</t>
        </is>
      </c>
      <c r="C56" s="6" t="inlineStr">
        <is>
          <t>Project InnerSpace Analysis Shows Geothermal Can Cost-Effectively Scale to Power the AI Data Center Boom</t>
        </is>
      </c>
      <c r="D56" s="6" t="inlineStr">
        <is>
          <t>https://www.prnewswire.com/news-releases/project-innerspace-analysis-shows-geothermal-can-cost-effectively-scale-to-power-the-ai-data-center-boom-302496016.html</t>
        </is>
      </c>
      <c r="E56" s="6" t="inlineStr">
        <is>
          <t>2026-09-29</t>
        </is>
      </c>
      <c r="F56" s="6" t="inlineStr">
        <is>
          <t>July 1, 2025</t>
        </is>
      </c>
      <c r="G56" s="6" t="inlineStr">
        <is>
          <t>searched, not cited in a cell</t>
        </is>
      </c>
    </row>
    <row r="57">
      <c r="B57" s="7" t="inlineStr">
        <is>
          <t>S52</t>
        </is>
      </c>
      <c r="C57" s="7" t="inlineStr">
        <is>
          <t>Project InnerSpace | LinkedIn</t>
        </is>
      </c>
      <c r="D57" s="7" t="inlineStr">
        <is>
          <t>https://www.linkedin.com/company/innerspace2030</t>
        </is>
      </c>
      <c r="E57" s="7" t="inlineStr">
        <is>
          <t>2026-09-29</t>
        </is>
      </c>
      <c r="F57" s="7" t="inlineStr">
        <is>
          <t>March 6, 2026</t>
        </is>
      </c>
      <c r="G57" s="7" t="inlineStr">
        <is>
          <t>searched, not cited in a cell</t>
        </is>
      </c>
    </row>
    <row r="58">
      <c r="B58" s="6" t="inlineStr">
        <is>
          <t>S53</t>
        </is>
      </c>
      <c r="C58" s="6" t="inlineStr">
        <is>
          <t>The Future of Geothermal in Pennsylvania</t>
        </is>
      </c>
      <c r="D58" s="6" t="inlineStr">
        <is>
          <t>https://projectinnerspace.org/news/Pennsylvania-Report.pdf</t>
        </is>
      </c>
      <c r="E58" s="6" t="inlineStr">
        <is>
          <t>2026-09-29</t>
        </is>
      </c>
      <c r="F58" s="6" t="inlineStr">
        <is>
          <t>February 26, 2025</t>
        </is>
      </c>
      <c r="G58" s="6" t="inlineStr">
        <is>
          <t>searched, not cited in a cell</t>
        </is>
      </c>
    </row>
    <row r="59">
      <c r="B59" s="7" t="inlineStr">
        <is>
          <t>S54</t>
        </is>
      </c>
      <c r="C59" s="7" t="inlineStr">
        <is>
          <t>Project InnerSpace Launches Initiative to Accelerate Geothermal Development in UK</t>
        </is>
      </c>
      <c r="D59" s="7" t="inlineStr">
        <is>
          <t>https://www.prnewswire.com/news-releases/project-innerspace-launches-initiative-to-accelerate-geothermal-development-in-uk-302415246.html</t>
        </is>
      </c>
      <c r="E59" s="7" t="inlineStr">
        <is>
          <t>2026-09-29</t>
        </is>
      </c>
      <c r="F59" s="7" t="inlineStr">
        <is>
          <t>March 31, 2025</t>
        </is>
      </c>
      <c r="G59" s="7" t="inlineStr">
        <is>
          <t>searched, not cited in a cell</t>
        </is>
      </c>
    </row>
    <row r="60">
      <c r="B60" s="6" t="inlineStr">
        <is>
          <t>S55</t>
        </is>
      </c>
      <c r="C60" s="6" t="inlineStr">
        <is>
          <t>Project InnerSpace Publishes Landmark Report on Indonesia's Geothermal Potential</t>
        </is>
      </c>
      <c r="D60" s="6" t="inlineStr">
        <is>
          <t>https://www.prnewswire.com/news-releases/project-innerspace-publishes-landmark-report-on-indonesias-geothermal-potential-302629731.html</t>
        </is>
      </c>
      <c r="E60" s="6" t="inlineStr">
        <is>
          <t>2026-09-29</t>
        </is>
      </c>
      <c r="F60" s="6" t="inlineStr">
        <is>
          <t>December 2, 2025</t>
        </is>
      </c>
      <c r="G60" s="6" t="inlineStr">
        <is>
          <t>searched, not cited in a cell</t>
        </is>
      </c>
    </row>
    <row r="61">
      <c r="B61" s="7" t="inlineStr">
        <is>
          <t>S56</t>
        </is>
      </c>
      <c r="C61" s="7" t="inlineStr">
        <is>
          <t>Project InnerSpace | Resources</t>
        </is>
      </c>
      <c r="D61" s="7" t="inlineStr">
        <is>
          <t>https://projectinnerspace.org/resources/</t>
        </is>
      </c>
      <c r="E61" s="7" t="inlineStr">
        <is>
          <t>2026-09-29</t>
        </is>
      </c>
      <c r="F61" s="7" t="inlineStr"/>
      <c r="G61" s="7" t="inlineStr">
        <is>
          <t>searched, not cited in a cell</t>
        </is>
      </c>
    </row>
    <row r="62">
      <c r="B62" s="6" t="inlineStr">
        <is>
          <t>S57</t>
        </is>
      </c>
      <c r="C62" s="6" t="inlineStr">
        <is>
          <t>Project InnerSpace launches geomap europe geothermal mapping platform | TheCivilEngineer.org</t>
        </is>
      </c>
      <c r="D62" s="6" t="inlineStr">
        <is>
          <t>https://www.thecivilengineer.org/news/project-innerspace-launches-geomap-europe-geothermal-mapping-platform</t>
        </is>
      </c>
      <c r="E62" s="6" t="inlineStr">
        <is>
          <t>2026-09-29</t>
        </is>
      </c>
      <c r="F62" s="6" t="inlineStr">
        <is>
          <t>November 21, 2025</t>
        </is>
      </c>
      <c r="G62" s="6" t="inlineStr">
        <is>
          <t>searched, not cited in a cell</t>
        </is>
      </c>
    </row>
    <row r="63">
      <c r="B63" s="7" t="inlineStr">
        <is>
          <t>S58</t>
        </is>
      </c>
      <c r="C63" s="7" t="inlineStr">
        <is>
          <t>Project InnerSpace Launches GeoMap Europe</t>
        </is>
      </c>
      <c r="D63" s="7" t="inlineStr">
        <is>
          <t>https://jpt.spe.org/project-innerspace-launches-geomap-europe</t>
        </is>
      </c>
      <c r="E63" s="7" t="inlineStr">
        <is>
          <t>2026-09-29</t>
        </is>
      </c>
      <c r="F63" s="7" t="inlineStr">
        <is>
          <t>November 20, 2025</t>
        </is>
      </c>
      <c r="G63" s="7" t="inlineStr">
        <is>
          <t>searched, not cited in a cell</t>
        </is>
      </c>
    </row>
    <row r="64">
      <c r="B64" s="6" t="inlineStr">
        <is>
          <t>S59</t>
        </is>
      </c>
      <c r="C64" s="6" t="inlineStr">
        <is>
          <t>Project InnerSpace Launches GeoMap™ South America, Revealing Up To 6000 GW of Untapped Geothermal Power Potential, Ranking Amongst Highest Quality Geo</t>
        </is>
      </c>
      <c r="D64" s="6" t="inlineStr">
        <is>
          <t>https://www.districtenergy.org/blogs/district-energy/2025/10/16/project-innerspace-launches-geomap-south-america-r</t>
        </is>
      </c>
      <c r="E64" s="6" t="inlineStr">
        <is>
          <t>2026-09-29</t>
        </is>
      </c>
      <c r="F64" s="6" t="inlineStr">
        <is>
          <t>October 16, 2025</t>
        </is>
      </c>
      <c r="G64" s="6" t="inlineStr">
        <is>
          <t>searched, not cited in a cell</t>
        </is>
      </c>
    </row>
    <row r="65">
      <c r="B65" s="7" t="inlineStr">
        <is>
          <t>S60</t>
        </is>
      </c>
      <c r="C65" s="7" t="inlineStr">
        <is>
          <t>Project InnerSpace completes global geothermal resource map with GeoMap Europe</t>
        </is>
      </c>
      <c r="D65" s="7" t="inlineStr">
        <is>
          <t>https://www.thinkgeoenergy.com/project-innerspace-completes-global-geothermal-resource-map-with-geomap-europe/</t>
        </is>
      </c>
      <c r="E65" s="7" t="inlineStr">
        <is>
          <t>2026-09-29</t>
        </is>
      </c>
      <c r="F65" s="7" t="inlineStr">
        <is>
          <t>November 23, 2025</t>
        </is>
      </c>
      <c r="G65" s="7" t="inlineStr">
        <is>
          <t>searched, not cited in a cell</t>
        </is>
      </c>
    </row>
    <row r="66">
      <c r="B66" s="6" t="inlineStr">
        <is>
          <t>S61</t>
        </is>
      </c>
      <c r="C66" s="6" t="inlineStr">
        <is>
          <t>Project InnerSpace's GeoMap™ Europe Showcases the Continent's Next Century of Geothermal Development Potential</t>
        </is>
      </c>
      <c r="D66" s="6" t="inlineStr">
        <is>
          <t>https://www.prnewswire.com/news-releases/project-innerspaces-geomap-europe-showcases-the-continents-next-century-of-geothermal-development-potential-302619224.html</t>
        </is>
      </c>
      <c r="E66" s="6" t="inlineStr">
        <is>
          <t>2026-09-29</t>
        </is>
      </c>
      <c r="F66" s="6" t="inlineStr">
        <is>
          <t>November 19, 2025</t>
        </is>
      </c>
      <c r="G66" s="6" t="inlineStr">
        <is>
          <t>searched, not cited in a cell</t>
        </is>
      </c>
    </row>
    <row r="67">
      <c r="B67" s="7" t="inlineStr">
        <is>
          <t>S62</t>
        </is>
      </c>
      <c r="C67" s="7" t="inlineStr">
        <is>
          <t>Project InnerSpace's GeoMap</t>
        </is>
      </c>
      <c r="D67" s="7" t="inlineStr">
        <is>
          <t>https://geomap.projectinnerspace.org/map-selection/</t>
        </is>
      </c>
      <c r="E67" s="7" t="inlineStr">
        <is>
          <t>2026-09-29</t>
        </is>
      </c>
      <c r="F67" s="7" t="inlineStr"/>
      <c r="G67" s="7" t="inlineStr">
        <is>
          <t>'Scope'!B12:C12; 'Scope'!B16; 'Landscape'!B8:J8; 'Landscape'!B9; 'Risks'!B22</t>
        </is>
      </c>
    </row>
    <row r="68">
      <c r="B68" s="6" t="inlineStr">
        <is>
          <t>S63</t>
        </is>
      </c>
      <c r="C68" s="6" t="inlineStr">
        <is>
          <t>GeoMap™ Beta | Project InnerSpace</t>
        </is>
      </c>
      <c r="D68" s="6" t="inlineStr">
        <is>
          <t>https://geomap.projectinnerspace.org/</t>
        </is>
      </c>
      <c r="E68" s="6" t="inlineStr">
        <is>
          <t>2026-09-29</t>
        </is>
      </c>
      <c r="F68" s="6" t="inlineStr"/>
      <c r="G68" s="6" t="inlineStr">
        <is>
          <t>searched, not cited in a cell</t>
        </is>
      </c>
    </row>
    <row r="69">
      <c r="B69" s="7" t="inlineStr">
        <is>
          <t>S64</t>
        </is>
      </c>
      <c r="C69" s="7" t="inlineStr">
        <is>
          <t>Project InnerSpace Launches GeoMap™ India, Revealing Substantial Prospects for Geothermal Power, Heating, and Cooling Development Across the Country</t>
        </is>
      </c>
      <c r="D69" s="7" t="inlineStr">
        <is>
          <t>https://www.prnewswire.com/in/news-releases/project-innerspace-launches-geomap-india-revealing-substantial-prospects-for-geothermal-power-heating-and-cooling-development-across-the-country-302301767.html</t>
        </is>
      </c>
      <c r="E69" s="7" t="inlineStr">
        <is>
          <t>2026-09-29</t>
        </is>
      </c>
      <c r="F69" s="7" t="inlineStr">
        <is>
          <t>November 12, 2024</t>
        </is>
      </c>
      <c r="G69" s="7" t="inlineStr">
        <is>
          <t>searched, not cited in a cell</t>
        </is>
      </c>
    </row>
    <row r="70">
      <c r="B70" s="6" t="inlineStr">
        <is>
          <t>S65</t>
        </is>
      </c>
      <c r="C70" s="6" t="inlineStr">
        <is>
          <t>Project InnerSpace Launches GeoMap™ Oceania, Revealing Nearly 1,600 GW of Untapped Geothermal Potential in Australia and 100 GW in New Zealand</t>
        </is>
      </c>
      <c r="D70" s="6" t="inlineStr">
        <is>
          <t>https://www.prnewswire.com/apac/news-releases/project-innerspace-launches-geomap-oceania-revealing-nearly-1-600-gw-of-untapped-geothermal-potential-in-australia-and-100-gw-in-new-zealand-302537221.html</t>
        </is>
      </c>
      <c r="E70" s="6" t="inlineStr">
        <is>
          <t>2026-09-29</t>
        </is>
      </c>
      <c r="F70" s="6" t="inlineStr">
        <is>
          <t>August 25, 2025</t>
        </is>
      </c>
      <c r="G70" s="6" t="inlineStr">
        <is>
          <t>searched, not cited in a cell</t>
        </is>
      </c>
    </row>
    <row r="71">
      <c r="B71" s="7" t="inlineStr">
        <is>
          <t>S66</t>
        </is>
      </c>
      <c r="C71" s="7" t="inlineStr">
        <is>
          <t>Media Contact:​ press@projectinnerspace.org</t>
        </is>
      </c>
      <c r="D71" s="7" t="inlineStr">
        <is>
          <t>https://projectinnerspace.org/static/7482d71294a35ce4ce112ce12adf0b2b/GeoMap_SAM_Press-Release-2.pdf</t>
        </is>
      </c>
      <c r="E71" s="7" t="inlineStr">
        <is>
          <t>2026-09-29</t>
        </is>
      </c>
      <c r="F71" s="7" t="inlineStr"/>
      <c r="G71" s="7" t="inlineStr">
        <is>
          <t>searched, not cited in a cell</t>
        </is>
      </c>
    </row>
    <row r="72">
      <c r="B72" s="6" t="inlineStr">
        <is>
          <t>S67</t>
        </is>
      </c>
      <c r="C72" s="6" t="inlineStr">
        <is>
          <t>Geothermal: Drilling accounts for 75% of project cost and 90% of capital cost | AJOT.COM</t>
        </is>
      </c>
      <c r="D72" s="6" t="inlineStr">
        <is>
          <t>https://www.ajot.com/news/geothermal-drilling-accounts-for-75-of-project-cost-and-90-of-capital-cost</t>
        </is>
      </c>
      <c r="E72" s="6" t="inlineStr">
        <is>
          <t>2026-09-29</t>
        </is>
      </c>
      <c r="F72" s="6" t="inlineStr">
        <is>
          <t>July 11, 2024</t>
        </is>
      </c>
      <c r="G72" s="6" t="inlineStr">
        <is>
          <t>searched, not cited in a cell</t>
        </is>
      </c>
    </row>
    <row r="73">
      <c r="B73" s="7" t="inlineStr">
        <is>
          <t>S68</t>
        </is>
      </c>
      <c r="C73" s="7" t="inlineStr">
        <is>
          <t>2025 Geothermal Drilling Cost Curves Update</t>
        </is>
      </c>
      <c r="D73" s="7" t="inlineStr">
        <is>
          <t>https://pangea.stanford.edu/ERE/pdf/IGAstandard/SGW/2025/Akindipe.pdf</t>
        </is>
      </c>
      <c r="E73" s="7" t="inlineStr">
        <is>
          <t>2026-09-29</t>
        </is>
      </c>
      <c r="F73" s="7" t="inlineStr"/>
      <c r="G73" s="7" t="inlineStr">
        <is>
          <t>searched, not cited in a cell</t>
        </is>
      </c>
    </row>
    <row r="74">
      <c r="B74" s="6" t="inlineStr">
        <is>
          <t>S69</t>
        </is>
      </c>
      <c r="C74" s="6" t="inlineStr">
        <is>
          <t>Drilling Down into the Cost of Geothermal Energy | Renewable Energy Project Finance</t>
        </is>
      </c>
      <c r="D74" s="6" t="inlineStr">
        <is>
          <t>https://financere.nrel.gov/finance/content/drilling-down-cost-geothermal-energy</t>
        </is>
      </c>
      <c r="E74" s="6" t="inlineStr">
        <is>
          <t>2026-09-29</t>
        </is>
      </c>
      <c r="F74" s="6" t="inlineStr">
        <is>
          <t>May 2, 2011</t>
        </is>
      </c>
      <c r="G74" s="6" t="inlineStr">
        <is>
          <t>searched, not cited in a cell</t>
        </is>
      </c>
    </row>
    <row r="75">
      <c r="B75" s="7" t="inlineStr">
        <is>
          <t>S70</t>
        </is>
      </c>
      <c r="C75" s="7" t="inlineStr">
        <is>
          <t>Reducing drilling cost of geothermal wells by optimizing drilling operations: Cost effective study - ScienceDirect</t>
        </is>
      </c>
      <c r="D75" s="7" t="inlineStr">
        <is>
          <t>https://www.sciencedirect.com/science/article/pii/S2666519025000627</t>
        </is>
      </c>
      <c r="E75" s="7" t="inlineStr">
        <is>
          <t>2026-09-29</t>
        </is>
      </c>
      <c r="F75" s="7" t="inlineStr">
        <is>
          <t>April 17, 2025</t>
        </is>
      </c>
      <c r="G75" s="7" t="inlineStr">
        <is>
          <t>searched, not cited in a cell</t>
        </is>
      </c>
    </row>
    <row r="76">
      <c r="B76" s="6" t="inlineStr">
        <is>
          <t>S71</t>
        </is>
      </c>
      <c r="C76" s="6" t="inlineStr">
        <is>
          <t>Geothermal | Electricity | 2023 | ATB | NLR</t>
        </is>
      </c>
      <c r="D76" s="6" t="inlineStr">
        <is>
          <t>https://atb.nrel.gov/electricity/2023/geothermal</t>
        </is>
      </c>
      <c r="E76" s="6" t="inlineStr">
        <is>
          <t>2026-09-29</t>
        </is>
      </c>
      <c r="F76" s="6" t="inlineStr">
        <is>
          <t>July 15, 2023</t>
        </is>
      </c>
      <c r="G76" s="6" t="inlineStr">
        <is>
          <t>searched, not cited in a cell</t>
        </is>
      </c>
    </row>
    <row r="77">
      <c r="B77" s="7" t="inlineStr">
        <is>
          <t>S72</t>
        </is>
      </c>
      <c r="C77" s="7" t="inlineStr">
        <is>
          <t>validation martini exploration volcanic</t>
        </is>
      </c>
      <c r="D77" s="7" t="inlineStr">
        <is>
          <t>https://www.energy.gov/sites/default/files/2014/02/f7/validation_martini_exploration_volcanic.pdf</t>
        </is>
      </c>
      <c r="E77" s="7" t="inlineStr">
        <is>
          <t>2026-09-29</t>
        </is>
      </c>
      <c r="F77" s="7" t="inlineStr"/>
      <c r="G77" s="7" t="inlineStr">
        <is>
          <t>searched, not cited in a cell</t>
        </is>
      </c>
    </row>
    <row r="78">
      <c r="B78" s="6" t="inlineStr">
        <is>
          <t>S73</t>
        </is>
      </c>
      <c r="C78" s="6" t="inlineStr">
        <is>
          <t>validation casteel black warrior</t>
        </is>
      </c>
      <c r="D78" s="6" t="inlineStr">
        <is>
          <t>https://www.energy.gov/sites/default/files/2014/02/f7/validation_casteel_black_warrior.pdf</t>
        </is>
      </c>
      <c r="E78" s="6" t="inlineStr">
        <is>
          <t>2026-09-29</t>
        </is>
      </c>
      <c r="F78" s="6" t="inlineStr"/>
      <c r="G78" s="6" t="inlineStr">
        <is>
          <t>searched, not cited in a cell</t>
        </is>
      </c>
    </row>
    <row r="79">
      <c r="B79" s="7" t="inlineStr">
        <is>
          <t>S74</t>
        </is>
      </c>
      <c r="C79" s="7" t="inlineStr">
        <is>
          <t>validation benoit structural model</t>
        </is>
      </c>
      <c r="D79" s="7" t="inlineStr">
        <is>
          <t>https://www.energy.gov/sites/default/files/2014/02/f7/validation_benoit_structural_model.pdf</t>
        </is>
      </c>
      <c r="E79" s="7" t="inlineStr">
        <is>
          <t>2026-09-29</t>
        </is>
      </c>
      <c r="F79" s="7" t="inlineStr"/>
      <c r="G79" s="7" t="inlineStr">
        <is>
          <t>searched, not cited in a cell</t>
        </is>
      </c>
    </row>
    <row r="80">
      <c r="B80" s="6" t="inlineStr">
        <is>
          <t>S75</t>
        </is>
      </c>
      <c r="C80" s="6" t="inlineStr">
        <is>
          <t>Fervo Energy signs record 396 MW geothermal deal with Google</t>
        </is>
      </c>
      <c r="D80" s="6" t="inlineStr">
        <is>
          <t>https://finance.yahoo.com/energy/articles/fervo-energy-signs-record-396-131540832.html</t>
        </is>
      </c>
      <c r="E80" s="6" t="inlineStr">
        <is>
          <t>2026-09-29</t>
        </is>
      </c>
      <c r="F80" s="6" t="inlineStr">
        <is>
          <t>1 month ago</t>
        </is>
      </c>
      <c r="G80" s="6" t="inlineStr">
        <is>
          <t>searched, not cited in a cell</t>
        </is>
      </c>
    </row>
    <row r="81">
      <c r="B81" s="7" t="inlineStr">
        <is>
          <t>S76</t>
        </is>
      </c>
      <c r="C81" s="7" t="inlineStr">
        <is>
          <t>Google Taps Earth’s Heat in 150MW Geothermal Deal with Ormat Technologies to Power Data Centers</t>
        </is>
      </c>
      <c r="D81" s="7" t="inlineStr">
        <is>
          <t>https://carboncredits.com/google-taps-earths-heat-in-150mw-geothermal-deal-with-ormat-technologies-to-power-data-centers/</t>
        </is>
      </c>
      <c r="E81" s="7" t="inlineStr">
        <is>
          <t>2026-09-29</t>
        </is>
      </c>
      <c r="F81" s="7" t="inlineStr">
        <is>
          <t>May 7, 2026</t>
        </is>
      </c>
      <c r="G81" s="7" t="inlineStr">
        <is>
          <t>searched, not cited in a cell</t>
        </is>
      </c>
    </row>
    <row r="82">
      <c r="B82" s="6" t="inlineStr">
        <is>
          <t>S77</t>
        </is>
      </c>
      <c r="C82" s="6" t="inlineStr">
        <is>
          <t>Google buys 115MW of geothermal energy to power Nevada data centers - DCD</t>
        </is>
      </c>
      <c r="D82" s="6" t="inlineStr">
        <is>
          <t>https://www.datacenterdynamics.com/en/news/google-buys-115mw-of-geothermal-energy-to-power-nevada-data-centers/</t>
        </is>
      </c>
      <c r="E82" s="6" t="inlineStr">
        <is>
          <t>2026-09-29</t>
        </is>
      </c>
      <c r="F82" s="6" t="inlineStr">
        <is>
          <t>June 18, 2026</t>
        </is>
      </c>
      <c r="G82" s="6" t="inlineStr">
        <is>
          <t>searched, not cited in a cell</t>
        </is>
      </c>
    </row>
    <row r="83">
      <c r="B83" s="7" t="inlineStr">
        <is>
          <t>S78</t>
        </is>
      </c>
      <c r="C83" s="7" t="inlineStr">
        <is>
          <t>NV Energy seeks new tariff to supply Google with 24/7 power from Fervo geothermal plant | Utility Dive</t>
        </is>
      </c>
      <c r="D83" s="7" t="inlineStr">
        <is>
          <t>https://www.utilitydive.com/news/google-fervo-nv-energy-nevada-puc-clean-energy-tariff/719472/</t>
        </is>
      </c>
      <c r="E83" s="7" t="inlineStr">
        <is>
          <t>2026-09-29</t>
        </is>
      </c>
      <c r="F83" s="7" t="inlineStr">
        <is>
          <t>June 21, 2024</t>
        </is>
      </c>
      <c r="G83" s="7" t="inlineStr">
        <is>
          <t>searched, not cited in a cell</t>
        </is>
      </c>
    </row>
    <row r="84">
      <c r="B84" s="6" t="inlineStr">
        <is>
          <t>S79</t>
        </is>
      </c>
      <c r="C84" s="6" t="inlineStr">
        <is>
          <t>Geothermal Data Centers: The 2026 Clean Transition Tariff Guide</t>
        </is>
      </c>
      <c r="D84" s="6" t="inlineStr">
        <is>
          <t>https://enkiai.com/data-center/geothermal-data-centers-the-2026-clean-transition-tariff-guide/</t>
        </is>
      </c>
      <c r="E84" s="6" t="inlineStr">
        <is>
          <t>2026-09-29</t>
        </is>
      </c>
      <c r="F84" s="6" t="inlineStr">
        <is>
          <t>April 8, 2026</t>
        </is>
      </c>
      <c r="G84" s="6" t="inlineStr">
        <is>
          <t>searched, not cited in a cell</t>
        </is>
      </c>
    </row>
    <row r="85">
      <c r="B85" s="7" t="inlineStr">
        <is>
          <t>S80</t>
        </is>
      </c>
      <c r="C85" s="7" t="inlineStr">
        <is>
          <t>The ‘clean transition tariff’ won approval in Nevada. What’s next for Fervo? | Latitude Media</t>
        </is>
      </c>
      <c r="D85" s="7" t="inlineStr">
        <is>
          <t>https://www.latitudemedia.com/news/the-clean-transition-tariff-won-approval-in-nevada-whats-next-for-fervo/</t>
        </is>
      </c>
      <c r="E85" s="7" t="inlineStr">
        <is>
          <t>2026-09-29</t>
        </is>
      </c>
      <c r="F85" s="7" t="inlineStr">
        <is>
          <t>May 15, 2025</t>
        </is>
      </c>
      <c r="G85" s="7" t="inlineStr">
        <is>
          <t>searched, not cited in a cell</t>
        </is>
      </c>
    </row>
    <row r="86">
      <c r="B86" s="6" t="inlineStr">
        <is>
          <t>S81</t>
        </is>
      </c>
      <c r="C86" s="6" t="inlineStr">
        <is>
          <t>Fervo Energy Geothermal 2026, $421M Google Partnership</t>
        </is>
      </c>
      <c r="D86" s="6" t="inlineStr">
        <is>
          <t>https://enkiai.com/geothermal/enhanced-geothermal-projects-data-centers/</t>
        </is>
      </c>
      <c r="E86" s="6" t="inlineStr">
        <is>
          <t>2026-09-29</t>
        </is>
      </c>
      <c r="F86" s="6" t="inlineStr">
        <is>
          <t>April 24, 2026</t>
        </is>
      </c>
      <c r="G86" s="6" t="inlineStr">
        <is>
          <t>searched, not cited in a cell</t>
        </is>
      </c>
    </row>
    <row r="87">
      <c r="B87" s="7" t="inlineStr">
        <is>
          <t>S82</t>
        </is>
      </c>
      <c r="C87" s="7" t="inlineStr">
        <is>
          <t>Nevada approves first-of-its-kind geothermal power supply agreement</t>
        </is>
      </c>
      <c r="D87" s="7" t="inlineStr">
        <is>
          <t>https://www.thinkgeoenergy.com/nevada-approves-first-of-its-kind-geothermal-power-supply-agreement/</t>
        </is>
      </c>
      <c r="E87" s="7" t="inlineStr">
        <is>
          <t>2026-09-29</t>
        </is>
      </c>
      <c r="F87" s="7" t="inlineStr">
        <is>
          <t>May 19, 2025</t>
        </is>
      </c>
      <c r="G87" s="7" t="inlineStr">
        <is>
          <t>searched, not cited in a cell</t>
        </is>
      </c>
    </row>
    <row r="88">
      <c r="B88" s="6" t="inlineStr">
        <is>
          <t>S83</t>
        </is>
      </c>
      <c r="C88" s="6" t="inlineStr">
        <is>
          <t>Fervo Energy and Google Sign 396 MW PPA</t>
        </is>
      </c>
      <c r="D88" s="6" t="inlineStr">
        <is>
          <t>https://www.globenewswire.com/news-release/2026/09/01/3354109/0/en/fervo-energy-and-google-sign-396-mw-ppa.html</t>
        </is>
      </c>
      <c r="E88" s="6" t="inlineStr">
        <is>
          <t>2026-09-29</t>
        </is>
      </c>
      <c r="F88" s="6" t="inlineStr">
        <is>
          <t>1 month ago</t>
        </is>
      </c>
      <c r="G88" s="6" t="inlineStr">
        <is>
          <t>searched, not cited in a cell</t>
        </is>
      </c>
    </row>
    <row r="89">
      <c r="B89" s="7" t="inlineStr">
        <is>
          <t>S84</t>
        </is>
      </c>
      <c r="C89" s="7" t="inlineStr">
        <is>
          <t>Google’s new model for clean energy approved in Nevada</t>
        </is>
      </c>
      <c r="D89" s="7" t="inlineStr">
        <is>
          <t>https://blog.google/feed/nevada-clean-energy/</t>
        </is>
      </c>
      <c r="E89" s="7" t="inlineStr">
        <is>
          <t>2026-09-29</t>
        </is>
      </c>
      <c r="F89" s="7" t="inlineStr">
        <is>
          <t>May 16, 2025</t>
        </is>
      </c>
      <c r="G89" s="7" t="inlineStr">
        <is>
          <t>searched, not cited in a cell</t>
        </is>
      </c>
    </row>
    <row r="90">
      <c r="B90" s="6" t="inlineStr">
        <is>
          <t>S85</t>
        </is>
      </c>
      <c r="C90" s="6" t="inlineStr">
        <is>
          <t>Old-School Geothermal Is Due for a Comeback, Says AI Startup - Heatmap News</t>
        </is>
      </c>
      <c r="D90" s="6" t="inlineStr">
        <is>
          <t>https://heatmap.news/climate-tech/ai-geothermal-discovery</t>
        </is>
      </c>
      <c r="E90" s="6" t="inlineStr">
        <is>
          <t>2026-09-29</t>
        </is>
      </c>
      <c r="F90" s="6" t="inlineStr">
        <is>
          <t>September 18, 2025</t>
        </is>
      </c>
      <c r="G90" s="6" t="inlineStr">
        <is>
          <t>searched, not cited in a cell</t>
        </is>
      </c>
    </row>
    <row r="91">
      <c r="B91" s="7" t="inlineStr">
        <is>
          <t>S86</t>
        </is>
      </c>
      <c r="C91" s="7" t="inlineStr">
        <is>
          <t>AI boosts satellite heat mapping for geothermal exploration</t>
        </is>
      </c>
      <c r="D91" s="7" t="inlineStr">
        <is>
          <t>https://www.linkedin.com/posts/roslandmj_ai-heatmapping-dataprocessing-activity-7351959528365572096-KwJ9</t>
        </is>
      </c>
      <c r="E91" s="7" t="inlineStr">
        <is>
          <t>2026-09-29</t>
        </is>
      </c>
      <c r="F91" s="7" t="inlineStr"/>
      <c r="G91" s="7" t="inlineStr">
        <is>
          <t>searched, not cited in a cell</t>
        </is>
      </c>
    </row>
    <row r="92">
      <c r="B92" s="6" t="inlineStr">
        <is>
          <t>S87</t>
        </is>
      </c>
      <c r="C92" s="6" t="inlineStr">
        <is>
          <t>Strataphy Raises $6M Seed Round to Scale Subsurface Cooling for AI Infrastructure</t>
        </is>
      </c>
      <c r="D92" s="6" t="inlineStr">
        <is>
          <t>https://arabfounders.net/en/strataphy-6m-seed-funding-subsurface-cooling-ai-infrastructure/</t>
        </is>
      </c>
      <c r="E92" s="6" t="inlineStr">
        <is>
          <t>2026-09-29</t>
        </is>
      </c>
      <c r="F92" s="6" t="inlineStr">
        <is>
          <t>November 25, 2025</t>
        </is>
      </c>
      <c r="G92" s="6" t="inlineStr">
        <is>
          <t>searched, not cited in a cell</t>
        </is>
      </c>
    </row>
    <row r="93">
      <c r="B93" s="7" t="inlineStr">
        <is>
          <t>S88</t>
        </is>
      </c>
      <c r="C93" s="7" t="inlineStr">
        <is>
          <t>Artificial Intelligence in Deep Geothermal Energy: Trends, Insights, and Future Perspectives - ScienceDirect</t>
        </is>
      </c>
      <c r="D93" s="7" t="inlineStr">
        <is>
          <t>https://www.sciencedirect.com/science/article/pii/S1755008425001036</t>
        </is>
      </c>
      <c r="E93" s="7" t="inlineStr">
        <is>
          <t>2026-09-29</t>
        </is>
      </c>
      <c r="F93" s="7" t="inlineStr">
        <is>
          <t>November 4, 2025</t>
        </is>
      </c>
      <c r="G93" s="7" t="inlineStr">
        <is>
          <t>searched, not cited in a cell</t>
        </is>
      </c>
    </row>
    <row r="94">
      <c r="B94" s="6" t="inlineStr">
        <is>
          <t>S89</t>
        </is>
      </c>
      <c r="C94" s="6" t="inlineStr">
        <is>
          <t>Zanskar Geothermal</t>
        </is>
      </c>
      <c r="D94" s="6" t="inlineStr">
        <is>
          <t>https://zanskar.com/</t>
        </is>
      </c>
      <c r="E94" s="6" t="inlineStr">
        <is>
          <t>2026-09-29</t>
        </is>
      </c>
      <c r="F94" s="6" t="inlineStr"/>
      <c r="G94" s="6" t="inlineStr">
        <is>
          <t>searched, not cited in a cell</t>
        </is>
      </c>
    </row>
    <row r="95">
      <c r="B95" s="7" t="inlineStr">
        <is>
          <t>S90</t>
        </is>
      </c>
      <c r="C95" s="7" t="inlineStr">
        <is>
          <t>9 startups changing what's possible below the Earth's surface -</t>
        </is>
      </c>
      <c r="D95" s="7" t="inlineStr">
        <is>
          <t>https://globalventuring.com/corporate/energy-and-natural-resources/deeper-underground-9-startups-changing-whats-possible-below-the-earths-surface/</t>
        </is>
      </c>
      <c r="E95" s="7" t="inlineStr">
        <is>
          <t>2026-09-29</t>
        </is>
      </c>
      <c r="F95" s="7" t="inlineStr">
        <is>
          <t>August 29, 2025</t>
        </is>
      </c>
      <c r="G95" s="7" t="inlineStr">
        <is>
          <t>searched, not cited in a cell</t>
        </is>
      </c>
    </row>
    <row r="96">
      <c r="B96" s="6" t="inlineStr">
        <is>
          <t>S91</t>
        </is>
      </c>
      <c r="C96" s="6" t="inlineStr">
        <is>
          <t>Building the AI-Native Platform for Subsurface Modeling</t>
        </is>
      </c>
      <c r="D96" s="6" t="inlineStr">
        <is>
          <t>https://www.terraai.com/blog-post/building-the-ai-native-platform-for-subsurface-modeling</t>
        </is>
      </c>
      <c r="E96" s="6" t="inlineStr">
        <is>
          <t>2026-09-29</t>
        </is>
      </c>
      <c r="F96" s="6" t="inlineStr"/>
      <c r="G96" s="6" t="inlineStr">
        <is>
          <t>searched, not cited in a cell</t>
        </is>
      </c>
    </row>
    <row r="97">
      <c r="B97" s="7" t="inlineStr">
        <is>
          <t>S92</t>
        </is>
      </c>
      <c r="C97" s="7" t="inlineStr">
        <is>
          <t>AI Unlocks Vast Conventional Geothermal Energy Potential → Innovation</t>
        </is>
      </c>
      <c r="D97" s="7" t="inlineStr">
        <is>
          <t>https://news.sustainability-directory.com/innovation/ai-unlocks-vast-conventional-geothermal-energy-potential/</t>
        </is>
      </c>
      <c r="E97" s="7" t="inlineStr">
        <is>
          <t>2026-09-29</t>
        </is>
      </c>
      <c r="F97" s="7" t="inlineStr">
        <is>
          <t>October 23, 2025</t>
        </is>
      </c>
      <c r="G97" s="7" t="inlineStr">
        <is>
          <t>searched, not cited in a cell</t>
        </is>
      </c>
    </row>
    <row r="98">
      <c r="B98" s="6" t="inlineStr">
        <is>
          <t>S93</t>
        </is>
      </c>
      <c r="C98" s="6" t="inlineStr">
        <is>
          <t>From subsurface data to heat economics: A novel machine-learning seismic workflow for geothermal reservoir delineation, subsurface derisking, and 3D m</t>
        </is>
      </c>
      <c r="D98" s="6" t="inlineStr">
        <is>
          <t>https://www.sciencedirect.com/science/article/pii/S2590123026013770</t>
        </is>
      </c>
      <c r="E98" s="6" t="inlineStr">
        <is>
          <t>2026-09-29</t>
        </is>
      </c>
      <c r="F98" s="6" t="inlineStr">
        <is>
          <t>April 1, 2026</t>
        </is>
      </c>
      <c r="G98" s="6" t="inlineStr">
        <is>
          <t>searched, not cited in a cell</t>
        </is>
      </c>
    </row>
    <row r="99">
      <c r="B99" s="7" t="inlineStr">
        <is>
          <t>S94</t>
        </is>
      </c>
      <c r="C99" s="7" t="inlineStr">
        <is>
          <t>Fervo Energy Geothermal 2026, 320 MW SCE Deal - ENKI</t>
        </is>
      </c>
      <c r="D99" s="7" t="inlineStr">
        <is>
          <t>https://enkiai.com/geothermal/fervo-energy-geothermal-2026-320-mw-sce-deal/</t>
        </is>
      </c>
      <c r="E99" s="7" t="inlineStr">
        <is>
          <t>2026-09-29</t>
        </is>
      </c>
      <c r="F99" s="7" t="inlineStr">
        <is>
          <t>June 13, 2026</t>
        </is>
      </c>
      <c r="G99" s="7" t="inlineStr">
        <is>
          <t>searched, not cited in a cell</t>
        </is>
      </c>
    </row>
    <row r="100">
      <c r="B100" s="6" t="inlineStr">
        <is>
          <t>S95</t>
        </is>
      </c>
      <c r="C100" s="6" t="inlineStr">
        <is>
          <t>The Big Deal: XGS continues wave of investment for geothermal startups - Global Venturing</t>
        </is>
      </c>
      <c r="D100" s="6" t="inlineStr">
        <is>
          <t>https://globalventuring.com/corporate/energy-and-natural-resources/the-big-deal-xgs-energy/</t>
        </is>
      </c>
      <c r="E100" s="6" t="inlineStr">
        <is>
          <t>2026-09-29</t>
        </is>
      </c>
      <c r="F100" s="6" t="inlineStr">
        <is>
          <t>August 29, 2025</t>
        </is>
      </c>
      <c r="G100" s="6" t="inlineStr">
        <is>
          <t>searched, not cited in a cell</t>
        </is>
      </c>
    </row>
    <row r="101">
      <c r="B101" s="7" t="inlineStr">
        <is>
          <t>S96</t>
        </is>
      </c>
      <c r="C101" s="7" t="inlineStr">
        <is>
          <t>Top Geothermal Energy Stocks 2026: Earth's Power on Tap</t>
        </is>
      </c>
      <c r="D101" s="7" t="inlineStr">
        <is>
          <t>https://exoswan.com/geothermal-energy-stocks</t>
        </is>
      </c>
      <c r="E101" s="7" t="inlineStr">
        <is>
          <t>2026-09-29</t>
        </is>
      </c>
      <c r="F101" s="7" t="inlineStr">
        <is>
          <t>1 month ago</t>
        </is>
      </c>
      <c r="G101" s="7" t="inlineStr">
        <is>
          <t>searched, not cited in a cell</t>
        </is>
      </c>
    </row>
    <row r="102">
      <c r="B102" s="6" t="inlineStr">
        <is>
          <t>S97</t>
        </is>
      </c>
      <c r="C102" s="6" t="inlineStr">
        <is>
          <t>Quaise looks to advance ‘superhot’ geothermal power plant in Oregon</t>
        </is>
      </c>
      <c r="D102" s="6" t="inlineStr">
        <is>
          <t>https://www.canarymedia.com/articles/geothermal/quaise-superhot-geothermal-power-plant-oregon</t>
        </is>
      </c>
      <c r="E102" s="6" t="inlineStr">
        <is>
          <t>2026-09-29</t>
        </is>
      </c>
      <c r="F102" s="6" t="inlineStr">
        <is>
          <t>March 3, 2026</t>
        </is>
      </c>
      <c r="G102" s="6" t="inlineStr">
        <is>
          <t>searched, not cited in a cell</t>
        </is>
      </c>
    </row>
    <row r="103">
      <c r="B103" s="7" t="inlineStr">
        <is>
          <t>S98</t>
        </is>
      </c>
      <c r="C103" s="7" t="inlineStr">
        <is>
          <t>Quaise Energy closes $180M Series B to commercialize superhot geothermal</t>
        </is>
      </c>
      <c r="D103" s="7" t="inlineStr">
        <is>
          <t>https://runtimewire.com/article/quaise-energy-180m-series-b-nabors-geothermal</t>
        </is>
      </c>
      <c r="E103" s="7" t="inlineStr">
        <is>
          <t>2026-09-29</t>
        </is>
      </c>
      <c r="F103" s="7" t="inlineStr">
        <is>
          <t>August 27, 2026</t>
        </is>
      </c>
      <c r="G103" s="7" t="inlineStr">
        <is>
          <t>searched, not cited in a cell</t>
        </is>
      </c>
    </row>
    <row r="104">
      <c r="B104" s="6" t="inlineStr">
        <is>
          <t>S99</t>
        </is>
      </c>
      <c r="C104" s="6" t="inlineStr">
        <is>
          <t>Quaise Energy raises $134M to fuel superhot geothermal ambitions</t>
        </is>
      </c>
      <c r="D104" s="6" t="inlineStr">
        <is>
          <t>https://www.canarymedia.com/articles/geothermal/quaise-energy-raises-134m</t>
        </is>
      </c>
      <c r="E104" s="6" t="inlineStr">
        <is>
          <t>2026-09-29</t>
        </is>
      </c>
      <c r="F104" s="6" t="inlineStr">
        <is>
          <t>July 8, 2026</t>
        </is>
      </c>
      <c r="G104" s="6" t="inlineStr">
        <is>
          <t>searched, not cited in a cell</t>
        </is>
      </c>
    </row>
    <row r="105">
      <c r="B105" s="7" t="inlineStr">
        <is>
          <t>S100</t>
        </is>
      </c>
      <c r="C105" s="7" t="inlineStr">
        <is>
          <t>Quaise Energy Raises $134 Million to Build First-Ever Superhot Geothermal Power Plant - ESG Today</t>
        </is>
      </c>
      <c r="D105" s="7" t="inlineStr">
        <is>
          <t>https://www.esgtoday.com/quaise-energy-raises-134-million-to-build-first-ever-superhot-geothermal-power-plant/</t>
        </is>
      </c>
      <c r="E105" s="7" t="inlineStr">
        <is>
          <t>2026-09-29</t>
        </is>
      </c>
      <c r="F105" s="7" t="inlineStr">
        <is>
          <t>July 8, 2026</t>
        </is>
      </c>
      <c r="G105" s="7" t="inlineStr">
        <is>
          <t>searched, not cited in a cell</t>
        </is>
      </c>
    </row>
    <row r="106">
      <c r="B106" s="6" t="inlineStr">
        <is>
          <t>S101</t>
        </is>
      </c>
      <c r="C106" s="6" t="inlineStr">
        <is>
          <t>Top 25 Geothermal Energy startups 2026</t>
        </is>
      </c>
      <c r="D106" s="6" t="inlineStr">
        <is>
          <t>https://www.energystartups.org/top/geothermal/</t>
        </is>
      </c>
      <c r="E106" s="6" t="inlineStr">
        <is>
          <t>2026-09-29</t>
        </is>
      </c>
      <c r="F106" s="6" t="inlineStr">
        <is>
          <t>2 weeks ago</t>
        </is>
      </c>
      <c r="G106" s="6" t="inlineStr">
        <is>
          <t>searched, not cited in a cell</t>
        </is>
      </c>
    </row>
    <row r="107">
      <c r="B107" s="7" t="inlineStr">
        <is>
          <t>S102</t>
        </is>
      </c>
      <c r="C107" s="7" t="inlineStr">
        <is>
          <t>The Biggest Week Yet for the Future of Next-Gen Geothermal</t>
        </is>
      </c>
      <c r="D107" s="7" t="inlineStr">
        <is>
          <t>https://clearpath.org/our-take/the-biggest-week-yet-for-the-future-of-next-gen-geothermal/</t>
        </is>
      </c>
      <c r="E107" s="7" t="inlineStr">
        <is>
          <t>2026-09-29</t>
        </is>
      </c>
      <c r="F107" s="7" t="inlineStr">
        <is>
          <t>4 days ago</t>
        </is>
      </c>
      <c r="G107" s="7" t="inlineStr">
        <is>
          <t>'Trends'!B15:D15; 'Trends'!B16:D16; 'Trends'!B17:D17; 'Trends'!B18</t>
        </is>
      </c>
    </row>
    <row r="108">
      <c r="B108" s="6" t="inlineStr">
        <is>
          <t>S103</t>
        </is>
      </c>
      <c r="C108" s="6" t="inlineStr">
        <is>
          <t>Zanskar raises $115M Series C Following Record-Setting Year of Geothermal Discoveries</t>
        </is>
      </c>
      <c r="D108" s="6" t="inlineStr">
        <is>
          <t>https://finance.yahoo.com/news/zanskar-raises-115m-series-c-130000291.html</t>
        </is>
      </c>
      <c r="E108" s="6" t="inlineStr">
        <is>
          <t>2026-09-29</t>
        </is>
      </c>
      <c r="F108" s="6" t="inlineStr">
        <is>
          <t>January 21, 2026</t>
        </is>
      </c>
      <c r="G108" s="6" t="inlineStr">
        <is>
          <t>searched, not cited in a cell</t>
        </is>
      </c>
    </row>
    <row r="109">
      <c r="B109" s="7" t="inlineStr">
        <is>
          <t>S104</t>
        </is>
      </c>
      <c r="C109" s="7" t="inlineStr">
        <is>
          <t>Geothermal explorer Zanskar raises USD 115m in Series C round | Renewable Energy News | Renewables Now</t>
        </is>
      </c>
      <c r="D109" s="7" t="inlineStr">
        <is>
          <t>https://renewablesnow.com/news/geothermal-explorer-zanskar-raises-usd-115m-in-series-c-round-1288360/</t>
        </is>
      </c>
      <c r="E109" s="7" t="inlineStr">
        <is>
          <t>2026-09-29</t>
        </is>
      </c>
      <c r="F109" s="7" t="inlineStr">
        <is>
          <t>January 22, 2026</t>
        </is>
      </c>
      <c r="G109" s="7" t="inlineStr">
        <is>
          <t>searched, not cited in a cell</t>
        </is>
      </c>
    </row>
    <row r="110">
      <c r="B110" s="6" t="inlineStr">
        <is>
          <t>S105</t>
        </is>
      </c>
      <c r="C110" s="6" t="inlineStr">
        <is>
          <t>Zanskar Secures $115 Million Series C to Advance AI-Driven Geothermal Development in the US</t>
        </is>
      </c>
      <c r="D110" s="6" t="inlineStr">
        <is>
          <t>https://onestopesg.com/esg-news/zanskar-secures-115-million-series-c-to-advance-ai-driven-geothermal-development-in-the-us-1769091441993</t>
        </is>
      </c>
      <c r="E110" s="6" t="inlineStr">
        <is>
          <t>2026-09-29</t>
        </is>
      </c>
      <c r="F110" s="6" t="inlineStr">
        <is>
          <t>April 3, 2026</t>
        </is>
      </c>
      <c r="G110" s="6" t="inlineStr">
        <is>
          <t>searched, not cited in a cell</t>
        </is>
      </c>
    </row>
    <row r="111">
      <c r="B111" s="7" t="inlineStr">
        <is>
          <t>S106</t>
        </is>
      </c>
      <c r="C111" s="7" t="inlineStr">
        <is>
          <t>Project InnerSpace launches GeoMap Beta geothermal exploration tool</t>
        </is>
      </c>
      <c r="D111" s="7" t="inlineStr">
        <is>
          <t>https://www.thinkgeoenergy.com/project-innerspace-launches-geomap-beta-geothermal-exploration-tool/</t>
        </is>
      </c>
      <c r="E111" s="7" t="inlineStr">
        <is>
          <t>2026-09-29</t>
        </is>
      </c>
      <c r="F111" s="7" t="inlineStr">
        <is>
          <t>December 1, 2023</t>
        </is>
      </c>
      <c r="G111" s="7" t="inlineStr">
        <is>
          <t>'Scope'!B12:C12; 'Scope'!B16; 'Landscape'!B8:J8; 'Landscape'!B9</t>
        </is>
      </c>
    </row>
    <row r="112">
      <c r="B112" s="6" t="inlineStr">
        <is>
          <t>S107</t>
        </is>
      </c>
      <c r="C112" s="6" t="inlineStr">
        <is>
          <t>Project Innerspace launches GeoMap geothermal prospecting tool for North America</t>
        </is>
      </c>
      <c r="D112" s="6" t="inlineStr">
        <is>
          <t>https://www.thinkgeoenergy.com/project-innerspace-launches-geomap-geothermal-prospecting-tool-for-north-america/</t>
        </is>
      </c>
      <c r="E112" s="6" t="inlineStr">
        <is>
          <t>2026-09-29</t>
        </is>
      </c>
      <c r="F112" s="6" t="inlineStr">
        <is>
          <t>June 4, 2024</t>
        </is>
      </c>
      <c r="G112" s="6" t="inlineStr">
        <is>
          <t>searched, not cited in a cell</t>
        </is>
      </c>
    </row>
    <row r="113">
      <c r="B113" s="7" t="inlineStr">
        <is>
          <t>S108</t>
        </is>
      </c>
      <c r="C113" s="7" t="inlineStr">
        <is>
          <t>Project InnerSpace launches GeoMap South America to uncover geothermal potential - New Energy Events</t>
        </is>
      </c>
      <c r="D113" s="7" t="inlineStr">
        <is>
          <t>https://newenergyevents.com/project-innerspace-launches-geomap-south-america-to-uncover-geothermal-potential/</t>
        </is>
      </c>
      <c r="E113" s="7" t="inlineStr">
        <is>
          <t>2026-09-29</t>
        </is>
      </c>
      <c r="F113" s="7" t="inlineStr">
        <is>
          <t>October 24, 2025</t>
        </is>
      </c>
      <c r="G113" s="7" t="inlineStr">
        <is>
          <t>searched, not cited in a cell</t>
        </is>
      </c>
    </row>
    <row r="114">
      <c r="B114" s="6" t="inlineStr">
        <is>
          <t>S109</t>
        </is>
      </c>
      <c r="C114" s="6" t="inlineStr">
        <is>
          <t>Project InnerSpace Launches GeoMap™ South America, Revealing Up To 6000 GW of Untapped Geothermal Power Potential, Ranking Amongst Highest Quality Geo</t>
        </is>
      </c>
      <c r="D114" s="6" t="inlineStr">
        <is>
          <t>https://www.prnewswire.com/news-releases/project-innerspace-launches-geomap-south-america-revealing-up-to-6000-gw-of-untapped-geothermal-power-potential-ranking-amongst-highest-quality-geothermal-resources-in-the-world-302584049.html</t>
        </is>
      </c>
      <c r="E114" s="6" t="inlineStr">
        <is>
          <t>2026-09-29</t>
        </is>
      </c>
      <c r="F114" s="6" t="inlineStr">
        <is>
          <t>October 15, 2025</t>
        </is>
      </c>
      <c r="G114" s="6" t="inlineStr">
        <is>
          <t>searched, not cited in a cell</t>
        </is>
      </c>
    </row>
    <row r="115">
      <c r="B115" s="7" t="inlineStr">
        <is>
          <t>S110</t>
        </is>
      </c>
      <c r="C115" s="7" t="inlineStr">
        <is>
          <t>Bedrock Energy: $12 Million (Series A) Secured For Scaling Geothermal Heating And Cooling</t>
        </is>
      </c>
      <c r="D115" s="7" t="inlineStr">
        <is>
          <t>https://pulse2.com/bedrock-energy-12-million-series-a-secured-for-scaling-geothermal-heating-and-cooling/</t>
        </is>
      </c>
      <c r="E115" s="7" t="inlineStr">
        <is>
          <t>2026-09-29</t>
        </is>
      </c>
      <c r="F115" s="7" t="inlineStr">
        <is>
          <t>January 27, 2025</t>
        </is>
      </c>
      <c r="G115" s="7" t="inlineStr">
        <is>
          <t>searched, not cited in a cell</t>
        </is>
      </c>
    </row>
    <row r="116">
      <c r="B116" s="6" t="inlineStr">
        <is>
          <t>S111</t>
        </is>
      </c>
      <c r="C116" s="6" t="inlineStr">
        <is>
          <t>Titanium Ventures Leads Series A Round in Bedrock Energy: Pioneering the Next Generation of Geothermal Solutions | Titanium Ventures</t>
        </is>
      </c>
      <c r="D116" s="6" t="inlineStr">
        <is>
          <t>https://ti.vc/titanium-ventures-leads-series-a-round-in-bedrock-energy-pioneering-the-next-generation-of-geothermal-solutions/</t>
        </is>
      </c>
      <c r="E116" s="6" t="inlineStr">
        <is>
          <t>2026-09-29</t>
        </is>
      </c>
      <c r="F116" s="6" t="inlineStr">
        <is>
          <t>January 22, 2025</t>
        </is>
      </c>
      <c r="G116" s="6" t="inlineStr">
        <is>
          <t>searched, not cited in a cell</t>
        </is>
      </c>
    </row>
    <row r="117">
      <c r="B117" s="7" t="inlineStr">
        <is>
          <t>S112</t>
        </is>
      </c>
      <c r="C117" s="7" t="inlineStr">
        <is>
          <t>Bedrock Energy Raises $12M Series A to Scale Geothermal Heating and Cooling | Nasdaq</t>
        </is>
      </c>
      <c r="D117" s="7" t="inlineStr">
        <is>
          <t>https://www.nasdaq.com/press-release/bedrock-energy-raises-12m-series-scale-geothermal-heating-and-cooling-2025-01-22</t>
        </is>
      </c>
      <c r="E117" s="7" t="inlineStr">
        <is>
          <t>2026-09-29</t>
        </is>
      </c>
      <c r="F117" s="7" t="inlineStr"/>
      <c r="G117" s="7" t="inlineStr">
        <is>
          <t>'Trends'!B7:F7; 'Trends'!B8:F8; 'Trends'!B9:F9; 'Trends'!B10</t>
        </is>
      </c>
    </row>
    <row r="118">
      <c r="B118" s="6" t="inlineStr">
        <is>
          <t>S113</t>
        </is>
      </c>
      <c r="C118" s="6" t="inlineStr">
        <is>
          <t>Bedrock Energy wants geothermal to make data centers cooler and offices more comfortable | TechCrunch</t>
        </is>
      </c>
      <c r="D118" s="6" t="inlineStr">
        <is>
          <t>https://techcrunch.com/2025/01/23/bedrock-energy-wants-geothermal-to-make-data-centers-cooler-and-offices-more-comfortable/</t>
        </is>
      </c>
      <c r="E118" s="6" t="inlineStr">
        <is>
          <t>2026-09-29</t>
        </is>
      </c>
      <c r="F118" s="6" t="inlineStr">
        <is>
          <t>January 24, 2025</t>
        </is>
      </c>
      <c r="G118" s="6" t="inlineStr">
        <is>
          <t>searched, not cited in a cell</t>
        </is>
      </c>
    </row>
    <row r="119">
      <c r="B119" s="7" t="inlineStr">
        <is>
          <t>S114</t>
        </is>
      </c>
      <c r="C119" s="7" t="inlineStr">
        <is>
          <t>Bedrock Energy Secures $12M to Expand Geothermal in the Mountain West | The Driller</t>
        </is>
      </c>
      <c r="D119" s="7" t="inlineStr">
        <is>
          <t>https://www.thedriller.com/articles/93291-bedrock-energy-secures-12m-to-expand-geothermal-in-the-mountain-west</t>
        </is>
      </c>
      <c r="E119" s="7" t="inlineStr">
        <is>
          <t>2026-09-29</t>
        </is>
      </c>
      <c r="F119" s="7" t="inlineStr">
        <is>
          <t>February 6, 2025</t>
        </is>
      </c>
      <c r="G119" s="7" t="inlineStr">
        <is>
          <t>searched, not cited in a cell</t>
        </is>
      </c>
    </row>
    <row r="120">
      <c r="B120" s="6" t="inlineStr">
        <is>
          <t>S115</t>
        </is>
      </c>
      <c r="C120" s="6" t="inlineStr">
        <is>
          <t>Bedrock Energy secures $12m in funding to scale business</t>
        </is>
      </c>
      <c r="D120" s="6" t="inlineStr">
        <is>
          <t>https://www.thinkgeoenergy.com/bedrock-energy-secures-12m-in-funding-to-scale-business/</t>
        </is>
      </c>
      <c r="E120" s="6" t="inlineStr">
        <is>
          <t>2026-09-29</t>
        </is>
      </c>
      <c r="F120" s="6" t="inlineStr">
        <is>
          <t>January 22, 2025</t>
        </is>
      </c>
      <c r="G120" s="6" t="inlineStr">
        <is>
          <t>searched, not cited in a cell</t>
        </is>
      </c>
    </row>
    <row r="121">
      <c r="B121" s="7" t="inlineStr">
        <is>
          <t>S116</t>
        </is>
      </c>
      <c r="C121" s="7" t="inlineStr">
        <is>
          <t>Geothermal Tech Startup Bedrock Raises $12 Million to Scale Carbon-Free HVAC for Buildings - ESG Today</t>
        </is>
      </c>
      <c r="D121" s="7" t="inlineStr">
        <is>
          <t>https://www.esgtoday.com/geothermal-tech-startup-bedrock-raises-12-million-to-scale-carbon-free-hvac-for-buildings/</t>
        </is>
      </c>
      <c r="E121" s="7" t="inlineStr">
        <is>
          <t>2026-09-29</t>
        </is>
      </c>
      <c r="F121" s="7" t="inlineStr">
        <is>
          <t>January 23, 2025</t>
        </is>
      </c>
      <c r="G121" s="7" t="inlineStr">
        <is>
          <t>searched, not cited in a cell</t>
        </is>
      </c>
    </row>
    <row r="122">
      <c r="B122" s="6" t="inlineStr">
        <is>
          <t>S117</t>
        </is>
      </c>
      <c r="C122" s="6" t="inlineStr">
        <is>
          <t>Bedrock Raises $12 Million in Funding to Advance Geothermal Technology | Mining Connection — The Link For All Your Mining Resources</t>
        </is>
      </c>
      <c r="D122" s="6" t="inlineStr">
        <is>
          <t>https://miningconnection.com/gos/news/article/bedrock_raises_12_million_in_funding_to_advance_geothermal_technology</t>
        </is>
      </c>
      <c r="E122" s="6" t="inlineStr">
        <is>
          <t>2026-09-29</t>
        </is>
      </c>
      <c r="F122" s="6" t="inlineStr"/>
      <c r="G122" s="6" t="inlineStr">
        <is>
          <t>searched, not cited in a cell</t>
        </is>
      </c>
    </row>
    <row r="123">
      <c r="B123" s="7" t="inlineStr">
        <is>
          <t>S118</t>
        </is>
      </c>
      <c r="C123" s="7" t="inlineStr">
        <is>
          <t>Bedrock Energy - Bedrock Energy Raises $12M Series A to Scale Geothermal Heating and Cooling</t>
        </is>
      </c>
      <c r="D123" s="7" t="inlineStr">
        <is>
          <t>https://globalrenewablenews.com/article/energy/category/geothermal/85/1121476/bedrock-energy-raises-12m-series-a-to-scale-geothermal-heating-and-cooling.html</t>
        </is>
      </c>
      <c r="E123" s="7" t="inlineStr">
        <is>
          <t>2026-09-29</t>
        </is>
      </c>
      <c r="F123" s="7" t="inlineStr"/>
      <c r="G123" s="7" t="inlineStr">
        <is>
          <t>searched, not cited in a cell</t>
        </is>
      </c>
    </row>
    <row r="124">
      <c r="B124" s="6" t="inlineStr">
        <is>
          <t>S119</t>
        </is>
      </c>
      <c r="C124" s="6" t="inlineStr">
        <is>
          <t>Bedrock Energy Raises $12M Series A to Scale Geothermal Heating and Cooling</t>
        </is>
      </c>
      <c r="D124" s="6" t="inlineStr">
        <is>
          <t>https://seekingalpha.com/pr/19977009-bedrock-energy-raises-12m-series-a-to-scale-geothermal-heating-and-cooling</t>
        </is>
      </c>
      <c r="E124" s="6" t="inlineStr">
        <is>
          <t>2026-09-29</t>
        </is>
      </c>
      <c r="F124" s="6" t="inlineStr"/>
      <c r="G124" s="6" t="inlineStr">
        <is>
          <t>searched, not cited in a cell</t>
        </is>
      </c>
    </row>
    <row r="125">
      <c r="B125" s="7" t="inlineStr">
        <is>
          <t>S120</t>
        </is>
      </c>
      <c r="C125" s="7" t="inlineStr">
        <is>
          <t>Fervo Energy IPO Timeline and Financing Details - Forge</t>
        </is>
      </c>
      <c r="D125" s="7" t="inlineStr">
        <is>
          <t>https://forgeglobal.com/fervo-energy_ipo/</t>
        </is>
      </c>
      <c r="E125" s="7" t="inlineStr">
        <is>
          <t>2026-09-29</t>
        </is>
      </c>
      <c r="F125" s="7" t="inlineStr">
        <is>
          <t>November 15, 2023</t>
        </is>
      </c>
      <c r="G125" s="7" t="inlineStr">
        <is>
          <t>searched, not cited in a cell</t>
        </is>
      </c>
    </row>
    <row r="126">
      <c r="B126" s="6" t="inlineStr">
        <is>
          <t>S121</t>
        </is>
      </c>
      <c r="C126" s="6" t="inlineStr">
        <is>
          <t>Fervo Energy secures $421 million in debt, boosting its IPO prospects</t>
        </is>
      </c>
      <c r="D126" s="6" t="inlineStr">
        <is>
          <t>https://www.rystadenergy.com/insights/fervo-energy-secures-dollar421-million-in-debt-boosting-its-ipo-prospects</t>
        </is>
      </c>
      <c r="E126" s="6" t="inlineStr">
        <is>
          <t>2026-09-29</t>
        </is>
      </c>
      <c r="F126" s="6" t="inlineStr">
        <is>
          <t>May 20, 2026</t>
        </is>
      </c>
      <c r="G126" s="6" t="inlineStr">
        <is>
          <t>'Capital'!B8:H8; 'Capital'!B11</t>
        </is>
      </c>
    </row>
    <row r="127">
      <c r="B127" s="7" t="inlineStr">
        <is>
          <t>S122</t>
        </is>
      </c>
      <c r="C127" s="7" t="inlineStr">
        <is>
          <t>Fervo Energy IPO Overview &amp; Pre-IPO History</t>
        </is>
      </c>
      <c r="D127" s="7" t="inlineStr">
        <is>
          <t>https://www.nasdaqprivatemarket.com/company/fervo-energy/</t>
        </is>
      </c>
      <c r="E127" s="7" t="inlineStr">
        <is>
          <t>2026-09-29</t>
        </is>
      </c>
      <c r="F127" s="7" t="inlineStr">
        <is>
          <t>March 2, 2025</t>
        </is>
      </c>
      <c r="G127" s="7" t="inlineStr">
        <is>
          <t>searched, not cited in a cell</t>
        </is>
      </c>
    </row>
    <row r="128">
      <c r="B128" s="6" t="inlineStr">
        <is>
          <t>S123</t>
        </is>
      </c>
      <c r="C128" s="6" t="inlineStr">
        <is>
          <t>Fervo Energy Raises $462 Million Series E to Accelerate Geothermal Development and Meet Surging Energy Demand with Clean, Firm Power - Fervo Energy</t>
        </is>
      </c>
      <c r="D128" s="6" t="inlineStr">
        <is>
          <t>https://fervoenergy.com/fervo-energy-raises-462-million-series-e-to-accelerate-geothermal-development-and-meet-surging-energy-demand-with-clean-firm-power/</t>
        </is>
      </c>
      <c r="E128" s="6" t="inlineStr">
        <is>
          <t>2026-09-29</t>
        </is>
      </c>
      <c r="F128" s="6" t="inlineStr">
        <is>
          <t>April 17, 2026</t>
        </is>
      </c>
      <c r="G128" s="6" t="inlineStr">
        <is>
          <t>'Trends'!B57:D57; 'Trends'!B58:D58; 'Trends'!B59:D59; 'Trends'!B60:D60; 'Trends'!B61</t>
        </is>
      </c>
    </row>
    <row r="129">
      <c r="B129" s="7" t="inlineStr">
        <is>
          <t>S124</t>
        </is>
      </c>
      <c r="C129" s="7" t="inlineStr">
        <is>
          <t>Fervo’s very big $6.5 billion IPO target | Latitude Media</t>
        </is>
      </c>
      <c r="D129" s="7" t="inlineStr">
        <is>
          <t>https://www.latitudemedia.com/news/fervos-very-big-6-5-billion-ipo-target/</t>
        </is>
      </c>
      <c r="E129" s="7" t="inlineStr">
        <is>
          <t>2026-09-29</t>
        </is>
      </c>
      <c r="F129" s="7" t="inlineStr">
        <is>
          <t>May 5, 2026</t>
        </is>
      </c>
      <c r="G129" s="7" t="inlineStr">
        <is>
          <t>searched, not cited in a cell</t>
        </is>
      </c>
    </row>
    <row r="130">
      <c r="B130" s="6" t="inlineStr">
        <is>
          <t>S125</t>
        </is>
      </c>
      <c r="C130" s="6" t="inlineStr">
        <is>
          <t>Fervo nabs $462M to complete massive next-gen geothermal project</t>
        </is>
      </c>
      <c r="D130" s="6" t="inlineStr">
        <is>
          <t>https://www.canarymedia.com/articles/geothermal/fervo-investment-capital-b-cape-station</t>
        </is>
      </c>
      <c r="E130" s="6" t="inlineStr">
        <is>
          <t>2026-09-29</t>
        </is>
      </c>
      <c r="F130" s="6" t="inlineStr">
        <is>
          <t>December 10, 2025</t>
        </is>
      </c>
      <c r="G130" s="6" t="inlineStr">
        <is>
          <t>searched, not cited in a cell</t>
        </is>
      </c>
    </row>
    <row r="131">
      <c r="B131" s="7" t="inlineStr">
        <is>
          <t>S126</t>
        </is>
      </c>
      <c r="C131" s="7" t="inlineStr">
        <is>
          <t>Fervo Energy IPO Date, Price, Final Terms, S-1</t>
        </is>
      </c>
      <c r="D131" s="7" t="inlineStr">
        <is>
          <t>https://accessipos.com/fervo-energy-stock-ipo/</t>
        </is>
      </c>
      <c r="E131" s="7" t="inlineStr">
        <is>
          <t>2026-09-29</t>
        </is>
      </c>
      <c r="F131" s="7" t="inlineStr">
        <is>
          <t>May 25, 2026</t>
        </is>
      </c>
      <c r="G131" s="7" t="inlineStr">
        <is>
          <t>searched, not cited in a cell</t>
        </is>
      </c>
    </row>
    <row r="132">
      <c r="B132" s="6" t="inlineStr">
        <is>
          <t>S127</t>
        </is>
      </c>
      <c r="C132" s="6" t="inlineStr">
        <is>
          <t>fervo series e geothermal</t>
        </is>
      </c>
      <c r="D132" s="6" t="inlineStr">
        <is>
          <t>https://www.axios.com/pro/climate-deals/2025/12/10/fervo-series-e-geothermal</t>
        </is>
      </c>
      <c r="E132" s="6" t="inlineStr">
        <is>
          <t>2026-09-29</t>
        </is>
      </c>
      <c r="F132" s="6" t="inlineStr"/>
      <c r="G132" s="6" t="inlineStr">
        <is>
          <t>searched, not cited in a cell</t>
        </is>
      </c>
    </row>
    <row r="133">
      <c r="B133" s="7" t="inlineStr">
        <is>
          <t>S128</t>
        </is>
      </c>
      <c r="C133" s="7" t="inlineStr">
        <is>
          <t>Fervo Energy Co - Form 10-Q - FY2026</t>
        </is>
      </c>
      <c r="D133" s="7" t="inlineStr">
        <is>
          <t>https://www.sec.gov/Archives/edgar/data/0001853868/000162828026056457/frvo-20260630.htm</t>
        </is>
      </c>
      <c r="E133" s="7" t="inlineStr">
        <is>
          <t>2026-09-29</t>
        </is>
      </c>
      <c r="F133" s="7" t="inlineStr"/>
      <c r="G133" s="7" t="inlineStr">
        <is>
          <t>'Trends'!B57:D57; 'Trends'!B58:D58; 'Trends'!B59:D59; 'Trends'!B60:D60; 'Trends'!B61</t>
        </is>
      </c>
    </row>
    <row r="134">
      <c r="B134" s="6" t="inlineStr">
        <is>
          <t>S129</t>
        </is>
      </c>
      <c r="C134" s="6" t="inlineStr">
        <is>
          <t>The IPO Buzz: Fervo Energy (FRVO) Prices IPO at $27 – $1 Above Range | IPOScoop</t>
        </is>
      </c>
      <c r="D134" s="6" t="inlineStr">
        <is>
          <t>https://www.iposcoop.com/the-ipo-buzz-fervo-energy-frvo-prices-ipo-at-27-1-above-range/</t>
        </is>
      </c>
      <c r="E134" s="6" t="inlineStr">
        <is>
          <t>2026-09-29</t>
        </is>
      </c>
      <c r="F134" s="6" t="inlineStr">
        <is>
          <t>May 12, 2026</t>
        </is>
      </c>
      <c r="G134" s="6" t="inlineStr">
        <is>
          <t>searched, not cited in a cell</t>
        </is>
      </c>
    </row>
    <row r="135">
      <c r="B135" s="7" t="inlineStr">
        <is>
          <t>S130</t>
        </is>
      </c>
      <c r="C135" s="7" t="inlineStr">
        <is>
          <t>Fervo Energy (Nasdaq:FRVO) - Stock Analysis - Simply Wall St</t>
        </is>
      </c>
      <c r="D135" s="7" t="inlineStr">
        <is>
          <t>https://simplywall.st/stocks/us/utilities/nasdaq-frvo/fervo-energy</t>
        </is>
      </c>
      <c r="E135" s="7" t="inlineStr">
        <is>
          <t>2026-09-29</t>
        </is>
      </c>
      <c r="F135" s="7" t="inlineStr">
        <is>
          <t>August 18, 2026</t>
        </is>
      </c>
      <c r="G135" s="7" t="inlineStr">
        <is>
          <t>searched, not cited in a cell</t>
        </is>
      </c>
    </row>
    <row r="136">
      <c r="B136" s="6" t="inlineStr">
        <is>
          <t>S131</t>
        </is>
      </c>
      <c r="C136" s="6" t="inlineStr">
        <is>
          <t>Fervo Energy Announces Pricing of its Upsized Initial Public Offering</t>
        </is>
      </c>
      <c r="D136" s="6" t="inlineStr">
        <is>
          <t>https://finance.yahoo.com/news/fervo-energy-announces-pricing-upsized-233400950.html</t>
        </is>
      </c>
      <c r="E136" s="6" t="inlineStr">
        <is>
          <t>2026-09-29</t>
        </is>
      </c>
      <c r="F136" s="6" t="inlineStr">
        <is>
          <t>May 12, 2026</t>
        </is>
      </c>
      <c r="G136" s="6" t="inlineStr">
        <is>
          <t>searched, not cited in a cell</t>
        </is>
      </c>
    </row>
    <row r="137">
      <c r="B137" s="7" t="inlineStr">
        <is>
          <t>S132</t>
        </is>
      </c>
      <c r="C137" s="7" t="inlineStr">
        <is>
          <t>Fervo Energy Announces Pricing of its Upsized Initial Public Offering - Fervo Energy</t>
        </is>
      </c>
      <c r="D137" s="7" t="inlineStr">
        <is>
          <t>https://fervoenergy.com/fervo-energy-announces-pricing-of-its-upsized-initial-public-offering/</t>
        </is>
      </c>
      <c r="E137" s="7" t="inlineStr">
        <is>
          <t>2026-09-29</t>
        </is>
      </c>
      <c r="F137" s="7" t="inlineStr">
        <is>
          <t>May 13, 2026</t>
        </is>
      </c>
      <c r="G137" s="7" t="inlineStr">
        <is>
          <t>searched, not cited in a cell</t>
        </is>
      </c>
    </row>
    <row r="138">
      <c r="B138" s="6" t="inlineStr">
        <is>
          <t>S133</t>
        </is>
      </c>
      <c r="C138" s="6" t="inlineStr">
        <is>
          <t>Fervo Energy Announces Upsized Proposed Initial Public Offering - Fervo Energy</t>
        </is>
      </c>
      <c r="D138" s="6" t="inlineStr">
        <is>
          <t>https://fervoenergy.com/fervo-energy-announces-upsized-proposed-initial-public-offering/</t>
        </is>
      </c>
      <c r="E138" s="6" t="inlineStr">
        <is>
          <t>2026-09-29</t>
        </is>
      </c>
      <c r="F138" s="6" t="inlineStr">
        <is>
          <t>May 11, 2026</t>
        </is>
      </c>
      <c r="G138" s="6" t="inlineStr">
        <is>
          <t>searched, not cited in a cell</t>
        </is>
      </c>
    </row>
    <row r="139">
      <c r="B139" s="7" t="inlineStr">
        <is>
          <t>S134</t>
        </is>
      </c>
      <c r="C139" s="7" t="inlineStr">
        <is>
          <t>Fervo Energy Prices Upsized Initial Public Offering of 70 Million Shares at $27 Each | FRVO Stock News</t>
        </is>
      </c>
      <c r="D139" s="7" t="inlineStr">
        <is>
          <t>https://www.quiverquant.com/news/Fervo+Energy+Prices+Upsized+Initial+Public+Offering+of+70+Million+Shares+at+$27+Each</t>
        </is>
      </c>
      <c r="E139" s="7" t="inlineStr">
        <is>
          <t>2026-09-29</t>
        </is>
      </c>
      <c r="F139" s="7" t="inlineStr">
        <is>
          <t>May 12, 2026</t>
        </is>
      </c>
      <c r="G139" s="7" t="inlineStr">
        <is>
          <t>searched, not cited in a cell</t>
        </is>
      </c>
    </row>
    <row r="140">
      <c r="B140" s="6" t="inlineStr">
        <is>
          <t>S135</t>
        </is>
      </c>
      <c r="C140" s="6" t="inlineStr">
        <is>
          <t>Fervo Energy IPO Soars on AI-Driven Geothermal Demand | InsiderFinance</t>
        </is>
      </c>
      <c r="D140" s="6" t="inlineStr">
        <is>
          <t>https://www.insiderfinance.io/news/fervo-energy-ipo-soars-on-ai-driven-geothermal-demand</t>
        </is>
      </c>
      <c r="E140" s="6" t="inlineStr">
        <is>
          <t>2026-09-29</t>
        </is>
      </c>
      <c r="F140" s="6" t="inlineStr">
        <is>
          <t>May 14, 2026</t>
        </is>
      </c>
      <c r="G140" s="6" t="inlineStr">
        <is>
          <t>searched, not cited in a cell</t>
        </is>
      </c>
    </row>
    <row r="141">
      <c r="B141" s="7" t="inlineStr">
        <is>
          <t>S136</t>
        </is>
      </c>
      <c r="C141" s="7" t="inlineStr">
        <is>
          <t>Fervo Energy prices upsized 70M-share IPO at $27 | FRVO Stock News</t>
        </is>
      </c>
      <c r="D141" s="7" t="inlineStr">
        <is>
          <t>https://www.stocktitan.net/news/FRVO/fervo-energy-announces-pricing-of-its-upsized-initial-public-9vld4luyezdr.html</t>
        </is>
      </c>
      <c r="E141" s="7" t="inlineStr">
        <is>
          <t>2026-09-29</t>
        </is>
      </c>
      <c r="F141" s="7" t="inlineStr">
        <is>
          <t>May 12, 2026</t>
        </is>
      </c>
      <c r="G141" s="7" t="inlineStr">
        <is>
          <t>searched, not cited in a cell</t>
        </is>
      </c>
    </row>
    <row r="142">
      <c r="B142" s="6" t="inlineStr">
        <is>
          <t>S137</t>
        </is>
      </c>
      <c r="C142" s="6" t="inlineStr">
        <is>
          <t>O’Melveny Advises Zanskar on US$115M Series C Funding - O'Melveny</t>
        </is>
      </c>
      <c r="D142" s="6" t="inlineStr">
        <is>
          <t>https://www.omm.com/news/press-releases/o-melveny-advises-zanskar-on-us-115m-series-c-funding/</t>
        </is>
      </c>
      <c r="E142" s="6" t="inlineStr">
        <is>
          <t>2026-09-29</t>
        </is>
      </c>
      <c r="F142" s="6" t="inlineStr">
        <is>
          <t>January 22, 2026</t>
        </is>
      </c>
      <c r="G142" s="6" t="inlineStr">
        <is>
          <t>searched, not cited in a cell</t>
        </is>
      </c>
    </row>
    <row r="143">
      <c r="B143" s="7" t="inlineStr">
        <is>
          <t>S138</t>
        </is>
      </c>
      <c r="C143" s="7" t="inlineStr">
        <is>
          <t>Zanskar raises $115M Series C Following Record-Setting Year of Geothermal Discoveries</t>
        </is>
      </c>
      <c r="D143" s="7" t="inlineStr">
        <is>
          <t>https://zanskargeothermal.substack.com/p/zanskar-raises-115m-series-c-following</t>
        </is>
      </c>
      <c r="E143" s="7" t="inlineStr">
        <is>
          <t>2026-09-29</t>
        </is>
      </c>
      <c r="F143" s="7" t="inlineStr">
        <is>
          <t>January 21, 2026</t>
        </is>
      </c>
      <c r="G143" s="7" t="inlineStr">
        <is>
          <t>searched, not cited in a cell</t>
        </is>
      </c>
    </row>
    <row r="144">
      <c r="B144" s="6" t="inlineStr">
        <is>
          <t>S139</t>
        </is>
      </c>
      <c r="C144" s="6" t="inlineStr">
        <is>
          <t>Zanskar Geothermal and Minerals, Inc. Asset Profile | Preqin</t>
        </is>
      </c>
      <c r="D144" s="6" t="inlineStr">
        <is>
          <t>https://www.preqin.com/data/profile/asset/zanskar-geothermal-and-minerals-inc-/472114</t>
        </is>
      </c>
      <c r="E144" s="6" t="inlineStr">
        <is>
          <t>2026-09-29</t>
        </is>
      </c>
      <c r="F144" s="6" t="inlineStr"/>
      <c r="G144" s="6" t="inlineStr">
        <is>
          <t>'Landscape'!B7:J7; 'Landscape'!B9</t>
        </is>
      </c>
    </row>
    <row r="145">
      <c r="B145" s="7" t="inlineStr">
        <is>
          <t>S140</t>
        </is>
      </c>
      <c r="C145" s="7" t="inlineStr">
        <is>
          <t>Zanskar raises $115M Series C Following Record-Setting Year of Geothermal Discoveries</t>
        </is>
      </c>
      <c r="D145" s="7" t="inlineStr">
        <is>
          <t>https://www.globenewswire.com/news-release/2026/01/21/3222733/0/en/Zanskar-raises-115M-Series-C-Following-Record-Setting-Year-of-Geothermal-Discoveries.html</t>
        </is>
      </c>
      <c r="E145" s="7" t="inlineStr">
        <is>
          <t>2026-09-29</t>
        </is>
      </c>
      <c r="F145" s="7" t="inlineStr">
        <is>
          <t>January 21, 2026</t>
        </is>
      </c>
      <c r="G145" s="7" t="inlineStr">
        <is>
          <t>'Fundamentals'!B15:F15; 'Fundamentals'!B18; 'Trends'!B7:F7; 'Trends'!B8:F8; 'Trends'!B9:F9; 'Trends'!B10; 'Landscape'!B7:J7; 'Landscape'!B9</t>
        </is>
      </c>
    </row>
    <row r="146">
      <c r="B146" s="6" t="inlineStr">
        <is>
          <t>S141</t>
        </is>
      </c>
      <c r="C146" s="6" t="inlineStr">
        <is>
          <t>Zanskar thinks 1 TW of geothermal power is being overlooked | TechCrunch</t>
        </is>
      </c>
      <c r="D146" s="6" t="inlineStr">
        <is>
          <t>https://techcrunch.com/2026/01/21/zanskar-thinks-1-tw-of-geothermal-power-is-being-overlooked/</t>
        </is>
      </c>
      <c r="E146" s="6" t="inlineStr">
        <is>
          <t>2026-09-29</t>
        </is>
      </c>
      <c r="F146" s="6" t="inlineStr">
        <is>
          <t>January 21, 2026</t>
        </is>
      </c>
      <c r="G146" s="6" t="inlineStr">
        <is>
          <t>searched, not cited in a cell</t>
        </is>
      </c>
    </row>
    <row r="147">
      <c r="B147" s="7" t="inlineStr">
        <is>
          <t>S142</t>
        </is>
      </c>
      <c r="C147" s="7" t="inlineStr">
        <is>
          <t>Zanskar Raises $115M in Series C Funding</t>
        </is>
      </c>
      <c r="D147" s="7" t="inlineStr">
        <is>
          <t>https://www.finsmes.com/2026/01/zanskar-raises-115m-in-series-c-funding.html</t>
        </is>
      </c>
      <c r="E147" s="7" t="inlineStr">
        <is>
          <t>2026-09-29</t>
        </is>
      </c>
      <c r="F147" s="7" t="inlineStr">
        <is>
          <t>January 21, 2026</t>
        </is>
      </c>
      <c r="G147" s="7" t="inlineStr">
        <is>
          <t>searched, not cited in a cell</t>
        </is>
      </c>
    </row>
    <row r="148">
      <c r="B148" s="6" t="inlineStr">
        <is>
          <t>S143</t>
        </is>
      </c>
      <c r="C148" s="6" t="inlineStr">
        <is>
          <t>Zanskar’s Recent $115 Million Series C Financing Round and What It Means for Utah’s Energy Future</t>
        </is>
      </c>
      <c r="D148" s="6" t="inlineStr">
        <is>
          <t>https://www.utahmoneywatch.com/zanskars-recent-115-million-series-c-financing-round-and-what-it-means-for-utahs-energy-future/</t>
        </is>
      </c>
      <c r="E148" s="6" t="inlineStr">
        <is>
          <t>2026-09-29</t>
        </is>
      </c>
      <c r="F148" s="6" t="inlineStr">
        <is>
          <t>January 29, 2026</t>
        </is>
      </c>
      <c r="G148" s="6" t="inlineStr">
        <is>
          <t>searched, not cited in a cell</t>
        </is>
      </c>
    </row>
    <row r="149">
      <c r="B149" s="7" t="inlineStr">
        <is>
          <t>S144</t>
        </is>
      </c>
      <c r="C149" s="7" t="inlineStr">
        <is>
          <t>German mining firm Hades Mining secures €5.5M pre-seed round | Vestbee</t>
        </is>
      </c>
      <c r="D149" s="7" t="inlineStr">
        <is>
          <t>https://www.vestbee.com/insights/articles/hades-mining-secures-5-5-m</t>
        </is>
      </c>
      <c r="E149" s="7" t="inlineStr">
        <is>
          <t>2026-09-29</t>
        </is>
      </c>
      <c r="F149" s="7" t="inlineStr">
        <is>
          <t>August 20, 2025</t>
        </is>
      </c>
      <c r="G149" s="7" t="inlineStr">
        <is>
          <t>searched, not cited in a cell</t>
        </is>
      </c>
    </row>
    <row r="150">
      <c r="B150" s="6" t="inlineStr">
        <is>
          <t>S145</t>
        </is>
      </c>
      <c r="C150" s="6" t="inlineStr">
        <is>
          <t>Germany’s Telura exits stealth with €4 million pre-Seed to unlock geothermal energy with electric impulse drilling | EU-Startups</t>
        </is>
      </c>
      <c r="D150" s="6" t="inlineStr">
        <is>
          <t>https://www.eu-startups.com/2026/03/germanys-telura-exits-stealth-with-e4-million-pre-seed-to-unlock-geothermal-energy-with-electric-impulse-drilling/</t>
        </is>
      </c>
      <c r="E150" s="6" t="inlineStr">
        <is>
          <t>2026-09-29</t>
        </is>
      </c>
      <c r="F150" s="6" t="inlineStr">
        <is>
          <t>March 9, 2026</t>
        </is>
      </c>
      <c r="G150" s="6" t="inlineStr">
        <is>
          <t>searched, not cited in a cell</t>
        </is>
      </c>
    </row>
    <row r="151">
      <c r="B151" s="7" t="inlineStr">
        <is>
          <t>S146</t>
        </is>
      </c>
      <c r="C151" s="7" t="inlineStr">
        <is>
          <t>Best Geothermal Energy Startups (2026) | Seedtable</t>
        </is>
      </c>
      <c r="D151" s="7" t="inlineStr">
        <is>
          <t>https://seedtable.com/best-geothermal-energy-startups</t>
        </is>
      </c>
      <c r="E151" s="7" t="inlineStr">
        <is>
          <t>2026-09-29</t>
        </is>
      </c>
      <c r="F151" s="7" t="inlineStr"/>
      <c r="G151" s="7" t="inlineStr">
        <is>
          <t>searched, not cited in a cell</t>
        </is>
      </c>
    </row>
    <row r="152">
      <c r="B152" s="6" t="inlineStr">
        <is>
          <t>S147</t>
        </is>
      </c>
      <c r="C152" s="6" t="inlineStr">
        <is>
          <t>Subsurface Mapping - 2026 Market &amp; Investments Trends - Tracxn</t>
        </is>
      </c>
      <c r="D152" s="6" t="inlineStr">
        <is>
          <t>https://tracxn.com/d/trending-business-models/startups-in-subsurface-mapping/__FYU7oJdVqATm3pgfe-9N9xbqiEa15hRAK8DwuRnm-YQ</t>
        </is>
      </c>
      <c r="E152" s="6" t="inlineStr">
        <is>
          <t>2026-09-29</t>
        </is>
      </c>
      <c r="F152" s="6" t="inlineStr">
        <is>
          <t>January 5, 2026</t>
        </is>
      </c>
      <c r="G152" s="6" t="inlineStr">
        <is>
          <t>searched, not cited in a cell</t>
        </is>
      </c>
    </row>
    <row r="153">
      <c r="B153" s="7" t="inlineStr">
        <is>
          <t>S148</t>
        </is>
      </c>
      <c r="C153" s="7" t="inlineStr">
        <is>
          <t>Google invests in Fervo’s $462M round to unlock even more geothermal energy | TechCrunch</t>
        </is>
      </c>
      <c r="D153" s="7" t="inlineStr">
        <is>
          <t>https://techcrunch.com/2025/12/10/google-invests-in-fervos-462m-round-to-unlock-even-more-geothermal-energy/</t>
        </is>
      </c>
      <c r="E153" s="7" t="inlineStr">
        <is>
          <t>2026-09-29</t>
        </is>
      </c>
      <c r="F153" s="7" t="inlineStr">
        <is>
          <t>December 11, 2025</t>
        </is>
      </c>
      <c r="G153" s="7" t="inlineStr">
        <is>
          <t>'Capital'!B8:H8; 'Capital'!B11</t>
        </is>
      </c>
    </row>
    <row r="154">
      <c r="B154" s="6" t="inlineStr">
        <is>
          <t>S149</t>
        </is>
      </c>
      <c r="C154" s="6" t="inlineStr">
        <is>
          <t>Geothermal market map captures a sector in transition</t>
        </is>
      </c>
      <c r="D154" s="6" t="inlineStr">
        <is>
          <t>https://www.thinkgeoenergy.com/geothermal-market-map-captures-a-sector-in-transition/</t>
        </is>
      </c>
      <c r="E154" s="6" t="inlineStr">
        <is>
          <t>2026-09-29</t>
        </is>
      </c>
      <c r="F154" s="6" t="inlineStr">
        <is>
          <t>2 weeks ago</t>
        </is>
      </c>
      <c r="G154" s="6" t="inlineStr">
        <is>
          <t>searched, not cited in a cell</t>
        </is>
      </c>
    </row>
    <row r="155">
      <c r="B155" s="7" t="inlineStr">
        <is>
          <t>S150</t>
        </is>
      </c>
      <c r="C155" s="7" t="inlineStr">
        <is>
          <t>startup | ThinkGeoEnergy - Geothermal News &amp; Insights</t>
        </is>
      </c>
      <c r="D155" s="7" t="inlineStr">
        <is>
          <t>https://www.thinkgeoenergy.com/tag/startup/</t>
        </is>
      </c>
      <c r="E155" s="7" t="inlineStr">
        <is>
          <t>2026-09-29</t>
        </is>
      </c>
      <c r="F155" s="7" t="inlineStr"/>
      <c r="G155" s="7" t="inlineStr">
        <is>
          <t>searched, not cited in a cell</t>
        </is>
      </c>
    </row>
    <row r="156">
      <c r="B156" s="6" t="inlineStr">
        <is>
          <t>S151</t>
        </is>
      </c>
      <c r="C156" s="6" t="inlineStr">
        <is>
          <t>$171.5M DOE Funding Opportunity | Davis Wright Tremaine</t>
        </is>
      </c>
      <c r="D156" s="6" t="inlineStr">
        <is>
          <t>https://www.dwt.com/insights/2026/03/multimillion-dollar-doe-funding-opportunity</t>
        </is>
      </c>
      <c r="E156" s="6" t="inlineStr">
        <is>
          <t>2026-09-29</t>
        </is>
      </c>
      <c r="F156" s="6" t="inlineStr">
        <is>
          <t>March 3, 2026</t>
        </is>
      </c>
      <c r="G156" s="6" t="inlineStr">
        <is>
          <t>searched, not cited in a cell</t>
        </is>
      </c>
    </row>
    <row r="157">
      <c r="B157" s="7" t="inlineStr">
        <is>
          <t>S152</t>
        </is>
      </c>
      <c r="C157" s="7" t="inlineStr">
        <is>
          <t>DOE awards $99 million to 21 geothermal projects for field tests and exploration drilling</t>
        </is>
      </c>
      <c r="D157" s="7" t="inlineStr">
        <is>
          <t>https://gcn.com/doe-awards-million-geothermal-projects-field/21959</t>
        </is>
      </c>
      <c r="E157" s="7" t="inlineStr">
        <is>
          <t>2026-09-29</t>
        </is>
      </c>
      <c r="F157" s="7" t="inlineStr">
        <is>
          <t>3 days ago</t>
        </is>
      </c>
      <c r="G157" s="7" t="inlineStr">
        <is>
          <t>'Trends'!B15:D15; 'Trends'!B16:D16; 'Trends'!B17:D17; 'Trends'!B18</t>
        </is>
      </c>
    </row>
    <row r="158">
      <c r="B158" s="6" t="inlineStr">
        <is>
          <t>S153</t>
        </is>
      </c>
      <c r="C158" s="6" t="inlineStr">
        <is>
          <t>Funding Notice: Next-Generation Geothermal Field Tests and Geothermal Resource Characterization and Confirmation | Department of Energy</t>
        </is>
      </c>
      <c r="D158" s="6" t="inlineStr">
        <is>
          <t>https://www.energy.gov/hgeo/geothermal/funding-notice-next-generation-geothermal-field-tests-and-geothermal-resource</t>
        </is>
      </c>
      <c r="E158" s="6" t="inlineStr">
        <is>
          <t>2026-09-29</t>
        </is>
      </c>
      <c r="F158" s="6" t="inlineStr">
        <is>
          <t>4 days ago</t>
        </is>
      </c>
      <c r="G158" s="6" t="inlineStr">
        <is>
          <t>'Fundamentals'!B17:F17; 'Fundamentals'!B18; 'Trends'!B15:D15; 'Trends'!B16:D16; 'Trends'!B17:D17; 'Trends'!B18; 'Risks'!B27</t>
        </is>
      </c>
    </row>
    <row r="159">
      <c r="B159" s="7" t="inlineStr">
        <is>
          <t>S154</t>
        </is>
      </c>
      <c r="C159" s="7" t="inlineStr">
        <is>
          <t>Energy Department Announces $171.5 Million To Expand U.S. Geothermal Energy | Department of Energy</t>
        </is>
      </c>
      <c r="D159" s="7" t="inlineStr">
        <is>
          <t>https://www.energy.gov/articles/energy-department-announces-1715-million-expand-us-geothermal-energy</t>
        </is>
      </c>
      <c r="E159" s="7" t="inlineStr">
        <is>
          <t>2026-09-29</t>
        </is>
      </c>
      <c r="F159" s="7" t="inlineStr">
        <is>
          <t>February 26, 2026</t>
        </is>
      </c>
      <c r="G159" s="7" t="inlineStr">
        <is>
          <t>'Fundamentals'!B17:F17; 'Fundamentals'!B18; 'Trends'!B15:D15; 'Trends'!B16:D16; 'Trends'!B17:D17; 'Trends'!B18</t>
        </is>
      </c>
    </row>
    <row r="160">
      <c r="B160" s="6" t="inlineStr">
        <is>
          <t>S155</t>
        </is>
      </c>
      <c r="C160" s="6" t="inlineStr">
        <is>
          <t>Next-Generation Geothermal Field Tests and Geothermal Resource Characterization and Confirmation - FundHubWA</t>
        </is>
      </c>
      <c r="D160" s="6" t="inlineStr">
        <is>
          <t>https://fundhub.wa.gov/funding/next-generation-geothermal-field-tests-and-geothermal-resource-characterization-and-confirmation/</t>
        </is>
      </c>
      <c r="E160" s="6" t="inlineStr">
        <is>
          <t>2026-09-29</t>
        </is>
      </c>
      <c r="F160" s="6" t="inlineStr">
        <is>
          <t>March 10, 2026</t>
        </is>
      </c>
      <c r="G160" s="6" t="inlineStr">
        <is>
          <t>searched, not cited in a cell</t>
        </is>
      </c>
    </row>
    <row r="161">
      <c r="B161" s="7" t="inlineStr">
        <is>
          <t>S156</t>
        </is>
      </c>
      <c r="C161" s="7" t="inlineStr">
        <is>
          <t>DOE Announces $171.5 Million to Help Expand U.S. Geothermal Energy | Department of Energy</t>
        </is>
      </c>
      <c r="D161" s="7" t="inlineStr">
        <is>
          <t>https://www.energy.gov/hgeo/geothermal/articles/doe-announces-1715-million-help-expand-us-geothermal-energy</t>
        </is>
      </c>
      <c r="E161" s="7" t="inlineStr">
        <is>
          <t>2026-09-29</t>
        </is>
      </c>
      <c r="F161" s="7" t="inlineStr">
        <is>
          <t>April 9, 2026</t>
        </is>
      </c>
      <c r="G161" s="7" t="inlineStr">
        <is>
          <t>searched, not cited in a cell</t>
        </is>
      </c>
    </row>
    <row r="162">
      <c r="B162" s="6" t="inlineStr">
        <is>
          <t>S157</t>
        </is>
      </c>
      <c r="C162" s="6" t="inlineStr">
        <is>
          <t>DOE Awards $99 Million for Geothermal Projects To Advance Next-Generation Technologies</t>
        </is>
      </c>
      <c r="D162" s="6" t="inlineStr">
        <is>
          <t>https://jpt.spe.org/doe-awards-99-million-for-geothermal-projects-to-advance-next-generation-technologies</t>
        </is>
      </c>
      <c r="E162" s="6" t="inlineStr">
        <is>
          <t>2026-09-29</t>
        </is>
      </c>
      <c r="F162" s="6" t="inlineStr">
        <is>
          <t>1 week ago</t>
        </is>
      </c>
      <c r="G162" s="6" t="inlineStr">
        <is>
          <t>searched, not cited in a cell</t>
        </is>
      </c>
    </row>
    <row r="163">
      <c r="B163" s="7" t="inlineStr">
        <is>
          <t>S158</t>
        </is>
      </c>
      <c r="C163" s="7" t="inlineStr">
        <is>
          <t>DOE Announces $171.5 Million to Help Expand U.S. Geothermal Energy</t>
        </is>
      </c>
      <c r="D163" s="7" t="inlineStr">
        <is>
          <t>https://www.energy.gov/node/4856564</t>
        </is>
      </c>
      <c r="E163" s="7" t="inlineStr">
        <is>
          <t>2026-09-29</t>
        </is>
      </c>
      <c r="F163" s="7" t="inlineStr"/>
      <c r="G163" s="7" t="inlineStr">
        <is>
          <t>searched, not cited in a cell</t>
        </is>
      </c>
    </row>
    <row r="164">
      <c r="B164" s="6" t="inlineStr">
        <is>
          <t>S159</t>
        </is>
      </c>
      <c r="C164" s="6" t="inlineStr">
        <is>
          <t>April 2026 Insights on Seismic Behavior at Cape Station - Fervo Energy</t>
        </is>
      </c>
      <c r="D164" s="6" t="inlineStr">
        <is>
          <t>https://fervoenergy.com/april-2026-insights-on-seismic-behavior-at-cape-station/</t>
        </is>
      </c>
      <c r="E164" s="6" t="inlineStr">
        <is>
          <t>2026-09-29</t>
        </is>
      </c>
      <c r="F164" s="6" t="inlineStr">
        <is>
          <t>August 24, 2026</t>
        </is>
      </c>
      <c r="G164" s="6" t="inlineStr">
        <is>
          <t>searched, not cited in a cell</t>
        </is>
      </c>
    </row>
    <row r="165">
      <c r="B165" s="7" t="inlineStr">
        <is>
          <t>S160</t>
        </is>
      </c>
      <c r="C165" s="7" t="inlineStr">
        <is>
          <t>Here's Everything Investors Need to Know About the Fervo Energy IPO</t>
        </is>
      </c>
      <c r="D165" s="7" t="inlineStr">
        <is>
          <t>https://finance.yahoo.com/news/heres-everything-investors-know-fervo-183500623.html</t>
        </is>
      </c>
      <c r="E165" s="7" t="inlineStr">
        <is>
          <t>2026-09-29</t>
        </is>
      </c>
      <c r="F165" s="7" t="inlineStr">
        <is>
          <t>May 13, 2026</t>
        </is>
      </c>
      <c r="G165" s="7" t="inlineStr">
        <is>
          <t>searched, not cited in a cell</t>
        </is>
      </c>
    </row>
    <row r="166">
      <c r="B166" s="6" t="inlineStr">
        <is>
          <t>S161</t>
        </is>
      </c>
      <c r="C166" s="6" t="inlineStr">
        <is>
          <t>Here's Everything Investors Need to Know About the Fervo Energy IPO | The Motley Fool</t>
        </is>
      </c>
      <c r="D166" s="6" t="inlineStr">
        <is>
          <t>https://www.fool.com/investing/2026/05/13/heres-everything-investors-need-to-know-about-the/</t>
        </is>
      </c>
      <c r="E166" s="6" t="inlineStr">
        <is>
          <t>2026-09-29</t>
        </is>
      </c>
      <c r="F166" s="6" t="inlineStr">
        <is>
          <t>May 13, 2026</t>
        </is>
      </c>
      <c r="G166" s="6" t="inlineStr">
        <is>
          <t>searched, not cited in a cell</t>
        </is>
      </c>
    </row>
    <row r="167">
      <c r="B167" s="7" t="inlineStr">
        <is>
          <t>S162</t>
        </is>
      </c>
      <c r="C167" s="7" t="inlineStr">
        <is>
          <t>Fervo to close Cape Station geothermal project financing - ION Analytics</t>
        </is>
      </c>
      <c r="D167" s="7" t="inlineStr">
        <is>
          <t>https://ionanalytics.com/insights/infralogic/fervo-to-close-geothermal-project-financing/</t>
        </is>
      </c>
      <c r="E167" s="7" t="inlineStr">
        <is>
          <t>2026-09-29</t>
        </is>
      </c>
      <c r="F167" s="7" t="inlineStr">
        <is>
          <t>June 19, 2025</t>
        </is>
      </c>
      <c r="G167" s="7" t="inlineStr">
        <is>
          <t>searched, not cited in a cell</t>
        </is>
      </c>
    </row>
    <row r="168">
      <c r="B168" s="6" t="inlineStr">
        <is>
          <t>S163</t>
        </is>
      </c>
      <c r="C168" s="6" t="inlineStr">
        <is>
          <t>Independent Technical Review of Fervo Energy’s Induced Seismicity Mitigation Protocol Yields Positive Learnings - Fervo Energy</t>
        </is>
      </c>
      <c r="D168" s="6" t="inlineStr">
        <is>
          <t>https://fervoenergy.com/independent-technical-review-of-fervo-energys-induced-seismicity-mitigation-protocol-yields-positive-learnings/</t>
        </is>
      </c>
      <c r="E168" s="6" t="inlineStr">
        <is>
          <t>2026-09-29</t>
        </is>
      </c>
      <c r="F168" s="6" t="inlineStr">
        <is>
          <t>August 24, 2026</t>
        </is>
      </c>
      <c r="G168" s="6" t="inlineStr">
        <is>
          <t>searched, not cited in a cell</t>
        </is>
      </c>
    </row>
    <row r="169">
      <c r="B169" s="7" t="inlineStr">
        <is>
          <t>S164</t>
        </is>
      </c>
      <c r="C169" s="7" t="inlineStr">
        <is>
          <t>About - Cape Station</t>
        </is>
      </c>
      <c r="D169" s="7" t="inlineStr">
        <is>
          <t>https://capestation.com/about/</t>
        </is>
      </c>
      <c r="E169" s="7" t="inlineStr">
        <is>
          <t>2026-09-29</t>
        </is>
      </c>
      <c r="F169" s="7" t="inlineStr">
        <is>
          <t>April 20, 2026</t>
        </is>
      </c>
      <c r="G169" s="7" t="inlineStr">
        <is>
          <t>searched, not cited in a cell</t>
        </is>
      </c>
    </row>
    <row r="170">
      <c r="B170" s="6" t="inlineStr">
        <is>
          <t>S165</t>
        </is>
      </c>
      <c r="C170" s="6" t="inlineStr">
        <is>
          <t>Fervo lands first offtaker for Phase 1 of Cape Station geothermal project, expands to 500 MW</t>
        </is>
      </c>
      <c r="D170" s="6" t="inlineStr">
        <is>
          <t>https://www.power-eng.com/renewables/geothermal/fervo-lands-first-offtaker-for-phase-1-of-cape-station-geothermal-project-expands-to-500-mw/</t>
        </is>
      </c>
      <c r="E170" s="6" t="inlineStr">
        <is>
          <t>2026-09-29</t>
        </is>
      </c>
      <c r="F170" s="6" t="inlineStr">
        <is>
          <t>April 15, 2025</t>
        </is>
      </c>
      <c r="G170" s="6" t="inlineStr">
        <is>
          <t>searched, not cited in a cell</t>
        </is>
      </c>
    </row>
    <row r="171">
      <c r="B171" s="7" t="inlineStr">
        <is>
          <t>S166</t>
        </is>
      </c>
      <c r="C171" s="7" t="inlineStr">
        <is>
          <t>Fervo Energy Announces 31 MW Power Purchase Agreement with Shell Energy - Fervo Energy</t>
        </is>
      </c>
      <c r="D171" s="7" t="inlineStr">
        <is>
          <t>https://fervoenergy.com/fervo-energy-announces-31-mw-power-purchase-agreement-with-shell-energy/</t>
        </is>
      </c>
      <c r="E171" s="7" t="inlineStr">
        <is>
          <t>2026-09-29</t>
        </is>
      </c>
      <c r="F171" s="7" t="inlineStr">
        <is>
          <t>April 17, 2026</t>
        </is>
      </c>
      <c r="G171" s="7" t="inlineStr">
        <is>
          <t>searched, not cited in a cell</t>
        </is>
      </c>
    </row>
    <row r="172">
      <c r="B172" s="6" t="inlineStr">
        <is>
          <t>S167</t>
        </is>
      </c>
      <c r="C172" s="6" t="inlineStr">
        <is>
          <t>Fervo Energy: From Startup to Geothermal Leader - Energy News Beat</t>
        </is>
      </c>
      <c r="D172" s="6" t="inlineStr">
        <is>
          <t>https://energynewsbeat.co/geothermal-2/fervo-energy-from-startup-to-geothermal-leader/</t>
        </is>
      </c>
      <c r="E172" s="6" t="inlineStr">
        <is>
          <t>2026-09-29</t>
        </is>
      </c>
      <c r="F172" s="6" t="inlineStr">
        <is>
          <t>April 18, 2026</t>
        </is>
      </c>
      <c r="G172" s="6" t="inlineStr">
        <is>
          <t>searched, not cited in a cell</t>
        </is>
      </c>
    </row>
    <row r="173">
      <c r="B173" s="7" t="inlineStr">
        <is>
          <t>S168</t>
        </is>
      </c>
      <c r="C173" s="7" t="inlineStr">
        <is>
          <t>Topside distributed acoustic sensing interrogation of subsea wells with a single optical waveguide</t>
        </is>
      </c>
      <c r="D173" s="7" t="inlineStr">
        <is>
          <t>https://image-ppubs.uspto.gov/dirsearch-public/print/downloadPdf/11326936</t>
        </is>
      </c>
      <c r="E173" s="7" t="inlineStr">
        <is>
          <t>2026-09-29</t>
        </is>
      </c>
      <c r="F173" s="7" t="inlineStr"/>
      <c r="G173" s="7" t="inlineStr">
        <is>
          <t>searched, not cited in a cell</t>
        </is>
      </c>
    </row>
    <row r="174">
      <c r="B174" s="6" t="inlineStr">
        <is>
          <t>S169</t>
        </is>
      </c>
      <c r="C174" s="6" t="inlineStr">
        <is>
          <t>Zanskar validates AI-based discovery method with drilling at Pumpernickel geothermal site, Nevada</t>
        </is>
      </c>
      <c r="D174" s="6" t="inlineStr">
        <is>
          <t>https://www.thinkgeoenergy.com/zanskar-validates-ai-based-discovery-method-with-drilling-at-pumpernickel-geothermal-site-nevada/</t>
        </is>
      </c>
      <c r="E174" s="6" t="inlineStr">
        <is>
          <t>2026-09-29</t>
        </is>
      </c>
      <c r="F174" s="6" t="inlineStr">
        <is>
          <t>September 19, 2025</t>
        </is>
      </c>
      <c r="G174" s="6" t="inlineStr">
        <is>
          <t>'Landscape'!B7:J7; 'Landscape'!B9</t>
        </is>
      </c>
    </row>
    <row r="175">
      <c r="B175" s="7" t="inlineStr">
        <is>
          <t>S170</t>
        </is>
      </c>
      <c r="C175" s="7" t="inlineStr">
        <is>
          <t>Using Custom-Built Artificial Intelligence, Zanskar Drills Second Major Geothermal Discovery at an Overlooked "Conventional" Geothermal Site</t>
        </is>
      </c>
      <c r="D175" s="7" t="inlineStr">
        <is>
          <t>https://zanskargeothermal.substack.com/p/using-custom-built-artificial-intelligence</t>
        </is>
      </c>
      <c r="E175" s="7" t="inlineStr">
        <is>
          <t>2026-09-29</t>
        </is>
      </c>
      <c r="F175" s="7" t="inlineStr">
        <is>
          <t>October 10, 2025</t>
        </is>
      </c>
      <c r="G175" s="7" t="inlineStr">
        <is>
          <t>searched, not cited in a cell</t>
        </is>
      </c>
    </row>
    <row r="176">
      <c r="B176" s="6" t="inlineStr">
        <is>
          <t>S171</t>
        </is>
      </c>
      <c r="C176" s="6" t="inlineStr">
        <is>
          <t>Zanskar’s AI Uncovers Major Geothermal Find in Nevada | The Driller</t>
        </is>
      </c>
      <c r="D176" s="6" t="inlineStr">
        <is>
          <t>https://www.thedriller.com/articles/93603-zanskars-ai-uncovers-major-geothermal-find-in-nevada</t>
        </is>
      </c>
      <c r="E176" s="6" t="inlineStr">
        <is>
          <t>2026-09-29</t>
        </is>
      </c>
      <c r="F176" s="6" t="inlineStr">
        <is>
          <t>September 24, 2025</t>
        </is>
      </c>
      <c r="G176" s="6" t="inlineStr">
        <is>
          <t>searched, not cited in a cell</t>
        </is>
      </c>
    </row>
    <row r="177">
      <c r="B177" s="7" t="inlineStr">
        <is>
          <t>S172</t>
        </is>
      </c>
      <c r="C177" s="7" t="inlineStr">
        <is>
          <t>Zanskar strikes geothermal steam again!</t>
        </is>
      </c>
      <c r="D177" s="7" t="inlineStr">
        <is>
          <t>https://zanskargeothermal.substack.com/p/zanskar-strikes-geothermal-steam</t>
        </is>
      </c>
      <c r="E177" s="7" t="inlineStr">
        <is>
          <t>2026-09-29</t>
        </is>
      </c>
      <c r="F177" s="7" t="inlineStr">
        <is>
          <t>October 10, 2025</t>
        </is>
      </c>
      <c r="G177" s="7" t="inlineStr">
        <is>
          <t>searched, not cited in a cell</t>
        </is>
      </c>
    </row>
    <row r="178">
      <c r="B178" s="6" t="inlineStr">
        <is>
          <t>S173</t>
        </is>
      </c>
      <c r="C178" s="6" t="inlineStr">
        <is>
          <t>Can Zanskar use AI to de-risk conventional geothermal? | Latitude Media</t>
        </is>
      </c>
      <c r="D178" s="6" t="inlineStr">
        <is>
          <t>https://www.latitudemedia.com/news/can-zanskar-use-ai-to-de-risk-conventional-geothermal/</t>
        </is>
      </c>
      <c r="E178" s="6" t="inlineStr">
        <is>
          <t>2026-09-29</t>
        </is>
      </c>
      <c r="F178" s="6" t="inlineStr">
        <is>
          <t>June 9, 2025</t>
        </is>
      </c>
      <c r="G178" s="6" t="inlineStr">
        <is>
          <t>searched, not cited in a cell</t>
        </is>
      </c>
    </row>
    <row r="179">
      <c r="B179" s="7" t="inlineStr">
        <is>
          <t>S174</t>
        </is>
      </c>
      <c r="C179" s="7" t="inlineStr">
        <is>
          <t>Geothermal company makes big discovery using AI</t>
        </is>
      </c>
      <c r="D179" s="7" t="inlineStr">
        <is>
          <t>https://www.axios.com/2025/12/04/nevada-energy-ai-models-discovery-research</t>
        </is>
      </c>
      <c r="E179" s="7" t="inlineStr">
        <is>
          <t>2026-09-29</t>
        </is>
      </c>
      <c r="F179" s="7" t="inlineStr"/>
      <c r="G179" s="7" t="inlineStr">
        <is>
          <t>searched, not cited in a cell</t>
        </is>
      </c>
    </row>
    <row r="180">
      <c r="B180" s="6" t="inlineStr">
        <is>
          <t>S175</t>
        </is>
      </c>
      <c r="C180" s="6" t="inlineStr">
        <is>
          <t>Jamie Beard on LinkedIn: InnerSpace Google Partnership | 27 comments</t>
        </is>
      </c>
      <c r="D180" s="6" t="inlineStr">
        <is>
          <t>https://www.linkedin.com/posts/geothermal-jamie-beard_innerspace-google-partnership-activity-7107694244907077632-3xOF/</t>
        </is>
      </c>
      <c r="E180" s="6" t="inlineStr">
        <is>
          <t>2026-09-29</t>
        </is>
      </c>
      <c r="F180" s="6" t="inlineStr">
        <is>
          <t>September 13, 2023</t>
        </is>
      </c>
      <c r="G180" s="6" t="inlineStr">
        <is>
          <t>searched, not cited in a cell</t>
        </is>
      </c>
    </row>
    <row r="181">
      <c r="B181" s="7" t="inlineStr">
        <is>
          <t>S176</t>
        </is>
      </c>
      <c r="C181" s="7" t="inlineStr">
        <is>
          <t>Google Cloud, Project Innerspace and SLB Collaborate to Accelerate Global Geothermal Energy Adoption - Mar 6, 2025</t>
        </is>
      </c>
      <c r="D181" s="7" t="inlineStr">
        <is>
          <t>https://www.googlecloudpresscorner.com/2025-03-06-Google-Cloud,-Project-Innerspace-and-SLB-Collaborate-to-Accelerate-Global-Geothermal-Energy-Adoption</t>
        </is>
      </c>
      <c r="E181" s="7" t="inlineStr">
        <is>
          <t>2026-09-29</t>
        </is>
      </c>
      <c r="F181" s="7" t="inlineStr">
        <is>
          <t>March 6, 2025</t>
        </is>
      </c>
      <c r="G181" s="7" t="inlineStr">
        <is>
          <t>'Landscape'!B8:J8; 'Landscape'!B9</t>
        </is>
      </c>
    </row>
    <row r="182">
      <c r="B182" s="6" t="inlineStr">
        <is>
          <t>S177</t>
        </is>
      </c>
      <c r="C182" s="6" t="inlineStr">
        <is>
          <t>Project InnerSpace | News</t>
        </is>
      </c>
      <c r="D182" s="6" t="inlineStr">
        <is>
          <t>https://projectinnerspace.org/news/</t>
        </is>
      </c>
      <c r="E182" s="6" t="inlineStr">
        <is>
          <t>2026-09-29</t>
        </is>
      </c>
      <c r="F182" s="6" t="inlineStr"/>
      <c r="G182" s="6" t="inlineStr">
        <is>
          <t>searched, not cited in a cell</t>
        </is>
      </c>
    </row>
    <row r="183">
      <c r="B183" s="7" t="inlineStr">
        <is>
          <t>S178</t>
        </is>
      </c>
      <c r="C183" s="7" t="inlineStr">
        <is>
          <t>Project InnerSpace Among Top Five Climate Nonprofits for 2025</t>
        </is>
      </c>
      <c r="D183" s="7" t="inlineStr">
        <is>
          <t>https://www.prnewswire.com/news-releases/project-innerspace-among-top-five-climate-nonprofits-for-2025-302608772.html</t>
        </is>
      </c>
      <c r="E183" s="7" t="inlineStr">
        <is>
          <t>2026-09-29</t>
        </is>
      </c>
      <c r="F183" s="7" t="inlineStr">
        <is>
          <t>November 7, 2025</t>
        </is>
      </c>
      <c r="G183" s="7" t="inlineStr">
        <is>
          <t>searched, not cited in a cell</t>
        </is>
      </c>
    </row>
    <row r="184">
      <c r="B184" s="6" t="inlineStr">
        <is>
          <t>S179</t>
        </is>
      </c>
      <c r="C184" s="6" t="inlineStr">
        <is>
          <t>Project InnerSpace Becomes the Largest Nonprofit Funder of Geothermal in the World with 2025 Portfolio - But We Aren't Popping the Champagne Just Yet</t>
        </is>
      </c>
      <c r="D184" s="6" t="inlineStr">
        <is>
          <t>https://www.prnewswire.com/news-releases/project-innerspace-becomes-the-largest-nonprofit-funder-of-geothermal-in-the-world-with-2025-portfolio---but-we-arent-popping-the-champagne-just-yet-302637087.html</t>
        </is>
      </c>
      <c r="E184" s="6" t="inlineStr">
        <is>
          <t>2026-09-29</t>
        </is>
      </c>
      <c r="F184" s="6" t="inlineStr">
        <is>
          <t>December 9, 2025</t>
        </is>
      </c>
      <c r="G184" s="6" t="inlineStr">
        <is>
          <t>searched, not cited in a cell</t>
        </is>
      </c>
    </row>
    <row r="185">
      <c r="B185" s="7" t="inlineStr">
        <is>
          <t>S180</t>
        </is>
      </c>
      <c r="C185" s="7" t="inlineStr">
        <is>
          <t>Earnings call transcript: Fervo Energy falls as q2 2026 losses widen By Investing.com</t>
        </is>
      </c>
      <c r="D185" s="7" t="inlineStr">
        <is>
          <t>https://www.investing.com/news/transcripts/earnings-call-transcript-fervo-energy-falls-as-q2-2026-losses-widen-93CH-4855568</t>
        </is>
      </c>
      <c r="E185" s="7" t="inlineStr">
        <is>
          <t>2026-09-29</t>
        </is>
      </c>
      <c r="F185" s="7" t="inlineStr">
        <is>
          <t>August 12, 2026</t>
        </is>
      </c>
      <c r="G185" s="7" t="inlineStr">
        <is>
          <t>'Incumbents'!B7:H7; 'Incumbents'!B9</t>
        </is>
      </c>
    </row>
    <row r="186">
      <c r="B186" s="6" t="inlineStr">
        <is>
          <t>S181</t>
        </is>
      </c>
      <c r="C186" s="6" t="inlineStr">
        <is>
          <t>Fervo Energy Co 2026: Revenue $61K, Net income ($31.83M), EPS ($3.72) — 10-Q Summary</t>
        </is>
      </c>
      <c r="D186" s="6" t="inlineStr">
        <is>
          <t>https://www.tradingview.com/news/tradingview:d5ca7fceb9be4:0-fervo-energy-co-2026-revenue-61k-net-income-31-83m-eps-3-72-10-q-summary/</t>
        </is>
      </c>
      <c r="E186" s="6" t="inlineStr">
        <is>
          <t>2026-09-29</t>
        </is>
      </c>
      <c r="F186" s="6" t="inlineStr">
        <is>
          <t>June 23, 2026</t>
        </is>
      </c>
      <c r="G186" s="6" t="inlineStr">
        <is>
          <t>searched, not cited in a cell</t>
        </is>
      </c>
    </row>
    <row r="187">
      <c r="B187" s="7" t="inlineStr">
        <is>
          <t>S182</t>
        </is>
      </c>
      <c r="C187" s="7" t="inlineStr">
        <is>
          <t>Fervo Energy Co 2026: Revenue $113K, Net income ($55.92M), EPS ($0.38) — 10-Q Summary</t>
        </is>
      </c>
      <c r="D187" s="7" t="inlineStr">
        <is>
          <t>https://www.tradingview.com/news/tradingview:63407cafb9cc8:0-fervo-energy-co-2026-revenue-113k-net-income-55-92m-eps-0-38-10-q-summary/</t>
        </is>
      </c>
      <c r="E187" s="7" t="inlineStr">
        <is>
          <t>2026-09-29</t>
        </is>
      </c>
      <c r="F187" s="7" t="inlineStr">
        <is>
          <t>August 13, 2026</t>
        </is>
      </c>
      <c r="G187" s="7" t="inlineStr">
        <is>
          <t>searched, not cited in a cell</t>
        </is>
      </c>
    </row>
    <row r="188">
      <c r="B188" s="6" t="inlineStr">
        <is>
          <t>S183</t>
        </is>
      </c>
      <c r="C188" s="6" t="inlineStr">
        <is>
          <t>Fervo Energy Co (FRVO) (Q2 2026) Earnings Call Highlights: Geothermal Pioneer Expands Pipeline ...</t>
        </is>
      </c>
      <c r="D188" s="6" t="inlineStr">
        <is>
          <t>https://finance.yahoo.com/energy/articles/fervo-energy-co-frvo-q2-030223489.html</t>
        </is>
      </c>
      <c r="E188" s="6" t="inlineStr">
        <is>
          <t>2026-09-29</t>
        </is>
      </c>
      <c r="F188" s="6" t="inlineStr">
        <is>
          <t>August 18, 2026</t>
        </is>
      </c>
      <c r="G188" s="6" t="inlineStr">
        <is>
          <t>searched, not cited in a cell</t>
        </is>
      </c>
    </row>
    <row r="189">
      <c r="B189" s="7" t="inlineStr">
        <is>
          <t>S184</t>
        </is>
      </c>
      <c r="C189" s="7" t="inlineStr">
        <is>
          <t>Fervo Energy Q2 2026 results, cash and build-out | FRVO Quarterly Report (10-Q)</t>
        </is>
      </c>
      <c r="D189" s="7" t="inlineStr">
        <is>
          <t>https://www.stocktitan.net/sec-filings/FRVO/10-q-fervo-energy-co-quarterly-earnings-report-af859383d30c.html</t>
        </is>
      </c>
      <c r="E189" s="7" t="inlineStr">
        <is>
          <t>2026-09-29</t>
        </is>
      </c>
      <c r="F189" s="7" t="inlineStr">
        <is>
          <t>August 13, 2026</t>
        </is>
      </c>
      <c r="G189" s="7" t="inlineStr">
        <is>
          <t>searched, not cited in a cell</t>
        </is>
      </c>
    </row>
    <row r="190">
      <c r="B190" s="6" t="inlineStr">
        <is>
          <t>S185</t>
        </is>
      </c>
      <c r="C190" s="6" t="inlineStr">
        <is>
          <t>Fervo Energy Q2 Earnings: $2.2B IPO, $55.9M Net Loss | FRVO Stock News</t>
        </is>
      </c>
      <c r="D190" s="6" t="inlineStr">
        <is>
          <t>https://www.stocktitan.net/news/FRVO/fervo-energy-reports-second-quarter-2026-mezquy1ecxf4.html</t>
        </is>
      </c>
      <c r="E190" s="6" t="inlineStr">
        <is>
          <t>2026-09-29</t>
        </is>
      </c>
      <c r="F190" s="6" t="inlineStr">
        <is>
          <t>August 12, 2026</t>
        </is>
      </c>
      <c r="G190" s="6" t="inlineStr">
        <is>
          <t>searched, not cited in a cell</t>
        </is>
      </c>
    </row>
    <row r="191">
      <c r="B191" s="7" t="inlineStr">
        <is>
          <t>S186</t>
        </is>
      </c>
      <c r="C191" s="7" t="inlineStr">
        <is>
          <t>Fervo Energy Q2 2026 loss after $2.2B IPO | FRVO 8-K Filing</t>
        </is>
      </c>
      <c r="D191" s="7" t="inlineStr">
        <is>
          <t>https://www.stocktitan.net/sec-filings/FRVO/8-k-fervo-energy-co-reports-material-event-a2b9deb5f871.html</t>
        </is>
      </c>
      <c r="E191" s="7" t="inlineStr">
        <is>
          <t>2026-09-29</t>
        </is>
      </c>
      <c r="F191" s="7" t="inlineStr">
        <is>
          <t>August 12, 2026</t>
        </is>
      </c>
      <c r="G191" s="7" t="inlineStr">
        <is>
          <t>searched, not cited in a cell</t>
        </is>
      </c>
    </row>
    <row r="192">
      <c r="B192" s="6" t="inlineStr">
        <is>
          <t>S187</t>
        </is>
      </c>
      <c r="C192" s="6" t="inlineStr">
        <is>
          <t>Fervo Energy Q1 loss, builds capital for growth | FRVO Quarterly Report (10-Q)</t>
        </is>
      </c>
      <c r="D192" s="6" t="inlineStr">
        <is>
          <t>https://www.stocktitan.net/sec-filings/FRVO/10-q-fervo-energy-co-quarterly-earnings-report-ae5ca4530fb2.html</t>
        </is>
      </c>
      <c r="E192" s="6" t="inlineStr">
        <is>
          <t>2026-09-29</t>
        </is>
      </c>
      <c r="F192" s="6" t="inlineStr">
        <is>
          <t>June 23, 2026</t>
        </is>
      </c>
      <c r="G192" s="6" t="inlineStr">
        <is>
          <t>searched, not cited in a cell</t>
        </is>
      </c>
    </row>
    <row r="193">
      <c r="B193" s="7" t="inlineStr">
        <is>
          <t>S188</t>
        </is>
      </c>
      <c r="C193" s="7" t="inlineStr">
        <is>
          <t>Ormat Technologies Reports Second Quarter 2026 Financial Results</t>
        </is>
      </c>
      <c r="D193" s="7" t="inlineStr">
        <is>
          <t>https://finance.yahoo.com/energy/articles/ormat-technologies-reports-second-quarter-200500075.html</t>
        </is>
      </c>
      <c r="E193" s="7" t="inlineStr">
        <is>
          <t>2026-09-29</t>
        </is>
      </c>
      <c r="F193" s="7" t="inlineStr">
        <is>
          <t>August 5, 2026</t>
        </is>
      </c>
      <c r="G193" s="7" t="inlineStr">
        <is>
          <t>searched, not cited in a cell</t>
        </is>
      </c>
    </row>
    <row r="194">
      <c r="B194" s="6" t="inlineStr">
        <is>
          <t>S189</t>
        </is>
      </c>
      <c r="C194" s="6" t="inlineStr">
        <is>
          <t>Ormat Technologies Reports Second Quarter 2026 Financial Results | Nasdaq</t>
        </is>
      </c>
      <c r="D194" s="6" t="inlineStr">
        <is>
          <t>https://www.nasdaq.com/press-release/ormat-technologies-reports-second-quarter-2026-financial-results-2026-08-05</t>
        </is>
      </c>
      <c r="E194" s="6" t="inlineStr">
        <is>
          <t>2026-09-29</t>
        </is>
      </c>
      <c r="F194" s="6" t="inlineStr"/>
      <c r="G194" s="6" t="inlineStr">
        <is>
          <t>'Incumbents'!B8:H8; 'Incumbents'!B9</t>
        </is>
      </c>
    </row>
    <row r="195">
      <c r="B195" s="7" t="inlineStr">
        <is>
          <t>S190</t>
        </is>
      </c>
      <c r="C195" s="7" t="inlineStr">
        <is>
          <t>Ormat Technologies Inc. - Ormat Technologies Reports Second Quarter 2026 Financial Results</t>
        </is>
      </c>
      <c r="D195" s="7" t="inlineStr">
        <is>
          <t>https://investor.ormat.com/news-events/news/news-details/2026/Ormat-Technologies-Reports-Second-Quarter-2026-Financial-Results/default.aspx</t>
        </is>
      </c>
      <c r="E195" s="7" t="inlineStr">
        <is>
          <t>2026-09-29</t>
        </is>
      </c>
      <c r="F195" s="7" t="inlineStr">
        <is>
          <t>August 5, 2026</t>
        </is>
      </c>
      <c r="G195" s="7" t="inlineStr">
        <is>
          <t>searched, not cited in a cell</t>
        </is>
      </c>
    </row>
    <row r="196">
      <c r="B196" s="6" t="inlineStr">
        <is>
          <t>S191</t>
        </is>
      </c>
      <c r="C196" s="6" t="inlineStr">
        <is>
          <t>Ormat (ORA) Q2 2026 Earnings Call Transcript</t>
        </is>
      </c>
      <c r="D196" s="6" t="inlineStr">
        <is>
          <t>https://finance.yahoo.com/markets/stocks/articles/ormat-ora-q2-2026-earnings-222834733.html</t>
        </is>
      </c>
      <c r="E196" s="6" t="inlineStr">
        <is>
          <t>2026-09-29</t>
        </is>
      </c>
      <c r="F196" s="6" t="inlineStr">
        <is>
          <t>August 12, 2026</t>
        </is>
      </c>
      <c r="G196" s="6" t="inlineStr">
        <is>
          <t>searched, not cited in a cell</t>
        </is>
      </c>
    </row>
    <row r="197">
      <c r="B197" s="7" t="inlineStr">
        <is>
          <t>S192</t>
        </is>
      </c>
      <c r="C197" s="7" t="inlineStr">
        <is>
          <t>Earnings call transcript: Ormat tops Q2 2026 estimates and lifts outlook By Investing.com</t>
        </is>
      </c>
      <c r="D197" s="7" t="inlineStr">
        <is>
          <t>https://www.investing.com/news/transcripts/earnings-call-transcript-ormat-tops-q2-2026-estimates-and-lifts-outlook-93CH-4843186</t>
        </is>
      </c>
      <c r="E197" s="7" t="inlineStr">
        <is>
          <t>2026-09-29</t>
        </is>
      </c>
      <c r="F197" s="7" t="inlineStr">
        <is>
          <t>August 7, 2026</t>
        </is>
      </c>
      <c r="G197" s="7" t="inlineStr">
        <is>
          <t>searched, not cited in a cell</t>
        </is>
      </c>
    </row>
    <row r="198">
      <c r="B198" s="6" t="inlineStr">
        <is>
          <t>S193</t>
        </is>
      </c>
      <c r="C198" s="6" t="inlineStr">
        <is>
          <t>ORMAT TECHNOLOGIES, INC. - Form 8-K - FY2024</t>
        </is>
      </c>
      <c r="D198" s="6" t="inlineStr">
        <is>
          <t>https://www.sec.gov/Archives/edgar/data/1296445/000143774924024906/ex_709593.htm</t>
        </is>
      </c>
      <c r="E198" s="6" t="inlineStr">
        <is>
          <t>2026-09-29</t>
        </is>
      </c>
      <c r="F198" s="6" t="inlineStr"/>
      <c r="G198" s="6" t="inlineStr">
        <is>
          <t>searched, not cited in a cell</t>
        </is>
      </c>
    </row>
    <row r="199">
      <c r="B199" s="7" t="inlineStr">
        <is>
          <t>S194</t>
        </is>
      </c>
      <c r="C199" s="7" t="inlineStr">
        <is>
          <t>Ormat Technologies Reports 10.6% Revenue Growth in Q2 2026, Raises Full-Year Guidance - SolarQuarter</t>
        </is>
      </c>
      <c r="D199" s="7" t="inlineStr">
        <is>
          <t>https://solarquarter.com/2026/08/11/ormat-technologies-reports-10-6-revenue-growth-in-q2-2026-raises-full-year-guidance/</t>
        </is>
      </c>
      <c r="E199" s="7" t="inlineStr">
        <is>
          <t>2026-09-29</t>
        </is>
      </c>
      <c r="F199" s="7" t="inlineStr">
        <is>
          <t>August 11, 2026</t>
        </is>
      </c>
      <c r="G199" s="7" t="inlineStr">
        <is>
          <t>searched, not cited in a cell</t>
        </is>
      </c>
    </row>
    <row r="200">
      <c r="B200" s="6" t="inlineStr">
        <is>
          <t>S195</t>
        </is>
      </c>
      <c r="C200" s="6" t="inlineStr">
        <is>
          <t>Ormat Technologies Reports Second Quarter 2026 Financial Results</t>
        </is>
      </c>
      <c r="D200" s="6" t="inlineStr">
        <is>
          <t>https://www.globenewswire.com/news-release/2026/08/05/3339716/26372/en/ormat-technologies-reports-second-quarter-2026-financial-results.html</t>
        </is>
      </c>
      <c r="E200" s="6" t="inlineStr">
        <is>
          <t>2026-09-29</t>
        </is>
      </c>
      <c r="F200" s="6" t="inlineStr">
        <is>
          <t>August 5, 2026</t>
        </is>
      </c>
      <c r="G200" s="6" t="inlineStr">
        <is>
          <t>searched, not cited in a cell</t>
        </is>
      </c>
    </row>
    <row r="201">
      <c r="B201" s="7" t="inlineStr">
        <is>
          <t>S196</t>
        </is>
      </c>
      <c r="C201" s="7" t="inlineStr">
        <is>
          <t>Ormat Technologies Delivers 92.3% Q2 2026 Upside, Revenue Up 11% - Alphastreet</t>
        </is>
      </c>
      <c r="D201" s="7" t="inlineStr">
        <is>
          <t>https://news.alphastreet.com/ormat-technologies-delivers-92-3-q2-2026-upside-revenue-up-11/amp/</t>
        </is>
      </c>
      <c r="E201" s="7" t="inlineStr">
        <is>
          <t>2026-09-29</t>
        </is>
      </c>
      <c r="F201" s="7" t="inlineStr">
        <is>
          <t>August 7, 2026</t>
        </is>
      </c>
      <c r="G201" s="7" t="inlineStr">
        <is>
          <t>searched, not cited in a cell</t>
        </is>
      </c>
    </row>
    <row r="202">
      <c r="B202" s="6" t="inlineStr">
        <is>
          <t>S197</t>
        </is>
      </c>
      <c r="C202" s="6" t="inlineStr">
        <is>
          <t>Machine Learning | Department of Energy</t>
        </is>
      </c>
      <c r="D202" s="6" t="inlineStr">
        <is>
          <t>https://www.energy.gov/eere/geothermal/machine-learning</t>
        </is>
      </c>
      <c r="E202" s="6" t="inlineStr">
        <is>
          <t>2026-09-29</t>
        </is>
      </c>
      <c r="F202" s="6" t="inlineStr"/>
      <c r="G202" s="6" t="inlineStr">
        <is>
          <t>searched, not cited in a cell</t>
        </is>
      </c>
    </row>
    <row r="203">
      <c r="B203" s="7" t="inlineStr">
        <is>
          <t>S198</t>
        </is>
      </c>
      <c r="C203" s="7" t="inlineStr">
        <is>
          <t>Machine Learning - Geothermal</t>
        </is>
      </c>
      <c r="D203" s="7" t="inlineStr">
        <is>
          <t>https://www.energy.gov/hgeo/geothermal/machine-learning</t>
        </is>
      </c>
      <c r="E203" s="7" t="inlineStr">
        <is>
          <t>2026-09-29</t>
        </is>
      </c>
      <c r="F203" s="7" t="inlineStr">
        <is>
          <t>July 29, 2026</t>
        </is>
      </c>
      <c r="G203" s="7" t="inlineStr">
        <is>
          <t>searched, not cited in a cell</t>
        </is>
      </c>
    </row>
    <row r="204">
      <c r="B204" s="6" t="inlineStr">
        <is>
          <t>S199</t>
        </is>
      </c>
      <c r="C204" s="6" t="inlineStr">
        <is>
          <t>Geothermal Startup Ignis Energy Raises $12.5 Million - ESG Today</t>
        </is>
      </c>
      <c r="D204" s="6" t="inlineStr">
        <is>
          <t>https://www.esgtoday.com/ignis-energy-raises-12-5-million-to-advance-geothermal-energy-projects/</t>
        </is>
      </c>
      <c r="E204" s="6" t="inlineStr">
        <is>
          <t>2026-09-29</t>
        </is>
      </c>
      <c r="F204" s="6" t="inlineStr">
        <is>
          <t>February 20, 2025</t>
        </is>
      </c>
      <c r="G204" s="6" t="inlineStr">
        <is>
          <t>'Trends'!B7:F7; 'Trends'!B8:F8; 'Trends'!B9:F9; 'Trends'!B10</t>
        </is>
      </c>
    </row>
    <row r="205">
      <c r="B205" s="7" t="inlineStr">
        <is>
          <t>S200</t>
        </is>
      </c>
      <c r="C205" s="7" t="inlineStr">
        <is>
          <t>AI-powered geothermal energy start-up secures major funding to scale U.S. projects</t>
        </is>
      </c>
      <c r="D205" s="7" t="inlineStr">
        <is>
          <t>https://gcn.com/ai-geothermal-startup-funding-us-projects/17965</t>
        </is>
      </c>
      <c r="E205" s="7" t="inlineStr">
        <is>
          <t>2026-09-29</t>
        </is>
      </c>
      <c r="F205" s="7" t="inlineStr">
        <is>
          <t>January 29, 2026</t>
        </is>
      </c>
      <c r="G205" s="7" t="inlineStr">
        <is>
          <t>searched, not cited in a cell</t>
        </is>
      </c>
    </row>
    <row r="206">
      <c r="B206" s="6" t="inlineStr">
        <is>
          <t>S201</t>
        </is>
      </c>
      <c r="C206" s="6" t="inlineStr">
        <is>
          <t>Department of Energy Selects Four Projects to Receive up to $3.5 Million to Advance Research in Machine Learning for Geothermal Energy | Department of</t>
        </is>
      </c>
      <c r="D206" s="6" t="inlineStr">
        <is>
          <t>https://www.energy.gov/hgeo/geothermal/articles/department-energy-selects-four-projects-receive-35-million-advance</t>
        </is>
      </c>
      <c r="E206" s="6" t="inlineStr">
        <is>
          <t>2026-09-29</t>
        </is>
      </c>
      <c r="F206" s="6" t="inlineStr">
        <is>
          <t>May 15, 2026</t>
        </is>
      </c>
      <c r="G206" s="6" t="inlineStr">
        <is>
          <t>'Trends'!B23:C23; 'Trends'!B24:C24; 'Trends'!B25</t>
        </is>
      </c>
    </row>
    <row r="207">
      <c r="B207" s="7" t="inlineStr">
        <is>
          <t>S202</t>
        </is>
      </c>
      <c r="C207" s="7" t="inlineStr">
        <is>
          <t>Energy Department Announces $3.6 Million in Machine Learning for Geothermal Energy | Department of Energy</t>
        </is>
      </c>
      <c r="D207" s="7" t="inlineStr">
        <is>
          <t>https://www.energy.gov/hgeo/geothermal/articles/energy-department-announces-36-million-machine-learning-geothermal-energy</t>
        </is>
      </c>
      <c r="E207" s="7" t="inlineStr">
        <is>
          <t>2026-09-29</t>
        </is>
      </c>
      <c r="F207" s="7" t="inlineStr">
        <is>
          <t>May 15, 2026</t>
        </is>
      </c>
      <c r="G207" s="7" t="inlineStr">
        <is>
          <t>searched, not cited in a cell</t>
        </is>
      </c>
    </row>
    <row r="208">
      <c r="B208" s="6" t="inlineStr">
        <is>
          <t>S203</t>
        </is>
      </c>
      <c r="C208" s="6" t="inlineStr">
        <is>
          <t>Geothermal Startup Ignis Energy Raises $12.5 Million for Global Expansion</t>
        </is>
      </c>
      <c r="D208" s="6" t="inlineStr">
        <is>
          <t>https://onestopesg.com/esg-news/geothermal-startup-ignis-energy-raises-12-5-million-for-global-expansion-1740371947530</t>
        </is>
      </c>
      <c r="E208" s="6" t="inlineStr">
        <is>
          <t>2026-09-29</t>
        </is>
      </c>
      <c r="F208" s="6" t="inlineStr">
        <is>
          <t>April 18, 2026</t>
        </is>
      </c>
      <c r="G208" s="6" t="inlineStr">
        <is>
          <t>searched, not cited in a cell</t>
        </is>
      </c>
    </row>
    <row r="209">
      <c r="B209" s="7" t="inlineStr">
        <is>
          <t>S204</t>
        </is>
      </c>
      <c r="C209" s="7" t="inlineStr">
        <is>
          <t>Energy Department Awards $5.5 Million to Apply Machine Learning to Geothermal Exploration | Department of Energy</t>
        </is>
      </c>
      <c r="D209" s="7" t="inlineStr">
        <is>
          <t>https://www.energy.gov/hgeo/geothermal/articles/energy-department-awards-55-million-apply-machine-learning-geothermal</t>
        </is>
      </c>
      <c r="E209" s="7" t="inlineStr">
        <is>
          <t>2026-09-29</t>
        </is>
      </c>
      <c r="F209" s="7" t="inlineStr">
        <is>
          <t>May 15, 2026</t>
        </is>
      </c>
      <c r="G209" s="7" t="inlineStr">
        <is>
          <t>'Trends'!B23:C23; 'Trends'!B24:C24; 'Trends'!B25</t>
        </is>
      </c>
    </row>
    <row r="210">
      <c r="B210" s="6" t="inlineStr">
        <is>
          <t>S205</t>
        </is>
      </c>
      <c r="C210" s="6" t="inlineStr">
        <is>
          <t>Zanskar Raises $115M to Find Geothermal Sites with AI</t>
        </is>
      </c>
      <c r="D210" s="6" t="inlineStr">
        <is>
          <t>https://theoutpost.ai/news-story/zanskar-raises-115-m-to-unlock-terawatt-scale-geothermal-energy-using-ai-23166/</t>
        </is>
      </c>
      <c r="E210" s="6" t="inlineStr">
        <is>
          <t>2026-09-29</t>
        </is>
      </c>
      <c r="F210" s="6" t="inlineStr">
        <is>
          <t>January 21, 2026</t>
        </is>
      </c>
      <c r="G210" s="6" t="inlineStr">
        <is>
          <t>searched, not cited in a cell</t>
        </is>
      </c>
    </row>
    <row r="211">
      <c r="B211" s="7" t="inlineStr">
        <is>
          <t>S206</t>
        </is>
      </c>
      <c r="C211" s="7" t="inlineStr">
        <is>
          <t>ORMAT TECHNOLOGIES, INC. - Form 8-K - FY2026</t>
        </is>
      </c>
      <c r="D211" s="7" t="inlineStr">
        <is>
          <t>https://www.sec.gov/Archives/edgar/data/1296445/000143774926005680/ex_925292.htm</t>
        </is>
      </c>
      <c r="E211" s="7" t="inlineStr">
        <is>
          <t>2026-09-29</t>
        </is>
      </c>
      <c r="F211" s="7" t="inlineStr"/>
      <c r="G211" s="7" t="inlineStr">
        <is>
          <t>searched, not cited in a cell</t>
        </is>
      </c>
    </row>
    <row r="212">
      <c r="B212" s="6" t="inlineStr">
        <is>
          <t>S207</t>
        </is>
      </c>
      <c r="C212" s="6" t="inlineStr">
        <is>
          <t>ORMAT TECHNOLOGIES, INC. - Form 8-K - FY2026</t>
        </is>
      </c>
      <c r="D212" s="6" t="inlineStr">
        <is>
          <t>https://www.sec.gov/Archives/edgar/data/0001296445/000143774926025961/ex_999557.htm</t>
        </is>
      </c>
      <c r="E212" s="6" t="inlineStr">
        <is>
          <t>2026-09-29</t>
        </is>
      </c>
      <c r="F212" s="6" t="inlineStr"/>
      <c r="G212" s="6" t="inlineStr">
        <is>
          <t>searched, not cited in a cell</t>
        </is>
      </c>
    </row>
    <row r="213">
      <c r="B213" s="7" t="inlineStr">
        <is>
          <t>S208</t>
        </is>
      </c>
      <c r="C213" s="7" t="inlineStr">
        <is>
          <t>ORMAT TECHNOLOGIES, INC. - Form 8-K - FY2026</t>
        </is>
      </c>
      <c r="D213" s="7" t="inlineStr">
        <is>
          <t>https://www.sec.gov/Archives/edgar/data/0001296445/000143774926015235/ex_958050.htm</t>
        </is>
      </c>
      <c r="E213" s="7" t="inlineStr">
        <is>
          <t>2026-09-29</t>
        </is>
      </c>
      <c r="F213" s="7" t="inlineStr"/>
      <c r="G213" s="7" t="inlineStr">
        <is>
          <t>searched, not cited in a cell</t>
        </is>
      </c>
    </row>
    <row r="214">
      <c r="B214" s="6" t="inlineStr">
        <is>
          <t>S209</t>
        </is>
      </c>
      <c r="C214" s="6" t="inlineStr">
        <is>
          <t>Ormat Technologies Q2 2026 Revenue Rises 11% to $258.8 Million</t>
        </is>
      </c>
      <c r="D214" s="6" t="inlineStr">
        <is>
          <t>https://igrownews.com/ormat-technologies-latest-news/</t>
        </is>
      </c>
      <c r="E214" s="6" t="inlineStr">
        <is>
          <t>2026-09-29</t>
        </is>
      </c>
      <c r="F214" s="6" t="inlineStr">
        <is>
          <t>August 8, 2026</t>
        </is>
      </c>
      <c r="G214" s="6" t="inlineStr">
        <is>
          <t>searched, not cited in a cell</t>
        </is>
      </c>
    </row>
    <row r="215">
      <c r="B215" s="7" t="inlineStr">
        <is>
          <t>S210</t>
        </is>
      </c>
      <c r="C215" s="7" t="inlineStr">
        <is>
          <t>Ormat Technologies, Inc. (ORA) Q2 2026 Earnings Call Transcript - Equibles</t>
        </is>
      </c>
      <c r="D215" s="7" t="inlineStr">
        <is>
          <t>https://equibles.com/stocks/ora/calls/2026-q2</t>
        </is>
      </c>
      <c r="E215" s="7" t="inlineStr">
        <is>
          <t>2026-09-29</t>
        </is>
      </c>
      <c r="F215" s="7" t="inlineStr">
        <is>
          <t>August 6, 2026</t>
        </is>
      </c>
      <c r="G215" s="7" t="inlineStr">
        <is>
          <t>searched, not cited in a cell</t>
        </is>
      </c>
    </row>
    <row r="216">
      <c r="B216" s="6" t="inlineStr">
        <is>
          <t>S211</t>
        </is>
      </c>
      <c r="C216" s="6" t="inlineStr">
        <is>
          <t>ORMAT TECHNOLOGIES, INC. - Form 10-Q - FY2026</t>
        </is>
      </c>
      <c r="D216" s="6" t="inlineStr">
        <is>
          <t>https://www.sec.gov/Archives/edgar/data/0001296445/000129644526000008/ora-20260331.htm</t>
        </is>
      </c>
      <c r="E216" s="6" t="inlineStr">
        <is>
          <t>2026-09-29</t>
        </is>
      </c>
      <c r="F216" s="6" t="inlineStr"/>
      <c r="G216" s="6" t="inlineStr">
        <is>
          <t>searched, not cited in a cell</t>
        </is>
      </c>
    </row>
    <row r="217">
      <c r="B217" s="7" t="inlineStr">
        <is>
          <t>S212</t>
        </is>
      </c>
      <c r="C217" s="7" t="inlineStr">
        <is>
          <t>Ormat Technologies Inc. - Ormat Technologies Announces Co-Lead of Series B Investment in Sage Geosystems to Advance Next-Generation Geothermal Technol</t>
        </is>
      </c>
      <c r="D217" s="7" t="inlineStr">
        <is>
          <t>https://investor.ormat.com/news-events/news/news-details/2026/Ormat-Technologies-Announces-Co-Lead-of-Series-B-Investment-in-Sage-Geosystems-to-Advance-Next-Generation-Geothermal-Technology/default.aspx</t>
        </is>
      </c>
      <c r="E217" s="7" t="inlineStr">
        <is>
          <t>2026-09-29</t>
        </is>
      </c>
      <c r="F217" s="7" t="inlineStr">
        <is>
          <t>January 21, 2026</t>
        </is>
      </c>
      <c r="G217" s="7" t="inlineStr">
        <is>
          <t>searched, not cited in a cell</t>
        </is>
      </c>
    </row>
    <row r="218">
      <c r="B218" s="6" t="inlineStr">
        <is>
          <t>S213</t>
        </is>
      </c>
      <c r="C218" s="6" t="inlineStr">
        <is>
          <t>Sage Geosystems: Over $97 Million Series B Closed To Launch First Commercial Pressure Geothermal Power Facility</t>
        </is>
      </c>
      <c r="D218" s="6" t="inlineStr">
        <is>
          <t>https://pulse2.com/sage-geosystems-over-97-million-series-b/</t>
        </is>
      </c>
      <c r="E218" s="6" t="inlineStr">
        <is>
          <t>2026-09-29</t>
        </is>
      </c>
      <c r="F218" s="6" t="inlineStr">
        <is>
          <t>January 22, 2026</t>
        </is>
      </c>
      <c r="G218" s="6" t="inlineStr">
        <is>
          <t>searched, not cited in a cell</t>
        </is>
      </c>
    </row>
    <row r="219">
      <c r="B219" s="7" t="inlineStr">
        <is>
          <t>S214</t>
        </is>
      </c>
      <c r="C219" s="7" t="inlineStr">
        <is>
          <t>Sage Geosystems raises $97M Series B for next-gen power - InnovationMap</t>
        </is>
      </c>
      <c r="D219" s="7" t="inlineStr">
        <is>
          <t>https://houston.innovationmap.com/sage-geosystems-series-b-2675057096.html</t>
        </is>
      </c>
      <c r="E219" s="7" t="inlineStr">
        <is>
          <t>2026-09-29</t>
        </is>
      </c>
      <c r="F219" s="7" t="inlineStr">
        <is>
          <t>February 3, 2026</t>
        </is>
      </c>
      <c r="G219" s="7" t="inlineStr">
        <is>
          <t>searched, not cited in a cell</t>
        </is>
      </c>
    </row>
    <row r="220">
      <c r="B220" s="6" t="inlineStr">
        <is>
          <t>S215</t>
        </is>
      </c>
      <c r="C220" s="6" t="inlineStr">
        <is>
          <t>Ormat Technologies Announces Co-Lead of Series B Investment in Sage Geosystems to Advance Next-Generation Geothermal Technology</t>
        </is>
      </c>
      <c r="D220" s="6" t="inlineStr">
        <is>
          <t>https://finance.yahoo.com/news/ormat-technologies-announces-co-lead-125400464.html</t>
        </is>
      </c>
      <c r="E220" s="6" t="inlineStr">
        <is>
          <t>2026-09-29</t>
        </is>
      </c>
      <c r="F220" s="6" t="inlineStr">
        <is>
          <t>January 21, 2026</t>
        </is>
      </c>
      <c r="G220" s="6" t="inlineStr">
        <is>
          <t>searched, not cited in a cell</t>
        </is>
      </c>
    </row>
    <row r="221">
      <c r="B221" s="7" t="inlineStr">
        <is>
          <t>S216</t>
        </is>
      </c>
      <c r="C221" s="7" t="inlineStr">
        <is>
          <t>Sage Geosystems' plan to jump the commercialization line is underway | Latitude Media</t>
        </is>
      </c>
      <c r="D221" s="7" t="inlineStr">
        <is>
          <t>https://www.latitudemedia.com/news/sage-geosystems-plan-to-jump-the-commercialization-line-is-underway/</t>
        </is>
      </c>
      <c r="E221" s="7" t="inlineStr">
        <is>
          <t>2026-09-29</t>
        </is>
      </c>
      <c r="F221" s="7" t="inlineStr">
        <is>
          <t>January 22, 2026</t>
        </is>
      </c>
      <c r="G221" s="7" t="inlineStr">
        <is>
          <t>searched, not cited in a cell</t>
        </is>
      </c>
    </row>
    <row r="222">
      <c r="B222" s="6" t="inlineStr">
        <is>
          <t>S217</t>
        </is>
      </c>
      <c r="C222" s="6" t="inlineStr">
        <is>
          <t>Sage Geosystems Raises Over $97 Million To Deploy World’s First Commercial Pressure Geothermal Power Generation Facility</t>
        </is>
      </c>
      <c r="D222" s="6" t="inlineStr">
        <is>
          <t>https://www.businesswire.com/news/home/20260121330914/en/Sage-Geosystems-Raises-Over-$97-Million-To-Deploy-Worlds-First-Commercial-Pressure-Geothermal-Power-Generation-Facility</t>
        </is>
      </c>
      <c r="E222" s="6" t="inlineStr">
        <is>
          <t>2026-09-29</t>
        </is>
      </c>
      <c r="F222" s="6" t="inlineStr">
        <is>
          <t>January 21, 2026</t>
        </is>
      </c>
      <c r="G222" s="6" t="inlineStr">
        <is>
          <t>searched, not cited in a cell</t>
        </is>
      </c>
    </row>
    <row r="223">
      <c r="B223" s="7" t="inlineStr">
        <is>
          <t>S218</t>
        </is>
      </c>
      <c r="C223" s="7" t="inlineStr">
        <is>
          <t>Meta, XGS Energy to develop 150-megawatt geothermal power plant in New Mexico | The Express Tribune</t>
        </is>
      </c>
      <c r="D223" s="7" t="inlineStr">
        <is>
          <t>https://tribune.com.pk/story/2550660/meta-xgs-energy-to-develop-150-megawatt-geothermal-power-plant-in-new-mexico</t>
        </is>
      </c>
      <c r="E223" s="7" t="inlineStr">
        <is>
          <t>2026-09-29</t>
        </is>
      </c>
      <c r="F223" s="7" t="inlineStr">
        <is>
          <t>June 13, 2025</t>
        </is>
      </c>
      <c r="G223" s="7" t="inlineStr">
        <is>
          <t>searched, not cited in a cell</t>
        </is>
      </c>
    </row>
    <row r="224">
      <c r="B224" s="6" t="inlineStr">
        <is>
          <t>S219</t>
        </is>
      </c>
      <c r="C224" s="6" t="inlineStr">
        <is>
          <t>Meta teams with XGS Energy to build a 150 MW geothermal power plant | TechCrunch</t>
        </is>
      </c>
      <c r="D224" s="6" t="inlineStr">
        <is>
          <t>https://techcrunch.com/2025/06/12/meta-teams-with-xgs-energy-to-build-a-150-mw-geothermal-power-plant/</t>
        </is>
      </c>
      <c r="E224" s="6" t="inlineStr">
        <is>
          <t>2026-09-29</t>
        </is>
      </c>
      <c r="F224" s="6" t="inlineStr">
        <is>
          <t>June 12, 2025</t>
        </is>
      </c>
      <c r="G224" s="6" t="inlineStr">
        <is>
          <t>searched, not cited in a cell</t>
        </is>
      </c>
    </row>
    <row r="225">
      <c r="B225" s="7" t="inlineStr">
        <is>
          <t>S220</t>
        </is>
      </c>
      <c r="C225" s="7" t="inlineStr">
        <is>
          <t>Meta, XGS Sign Deal to Power Data Centers with Geothermal Energy - ESG Today</t>
        </is>
      </c>
      <c r="D225" s="7" t="inlineStr">
        <is>
          <t>https://www.esgtoday.com/meta-xgs-sign-deal-to-power-data-centers-with-geothermal-energy/</t>
        </is>
      </c>
      <c r="E225" s="7" t="inlineStr">
        <is>
          <t>2026-09-29</t>
        </is>
      </c>
      <c r="F225" s="7" t="inlineStr">
        <is>
          <t>June 16, 2025</t>
        </is>
      </c>
      <c r="G225" s="7" t="inlineStr">
        <is>
          <t>searched, not cited in a cell</t>
        </is>
      </c>
    </row>
    <row r="226">
      <c r="B226" s="6" t="inlineStr">
        <is>
          <t>S221</t>
        </is>
      </c>
      <c r="C226" s="6" t="inlineStr">
        <is>
          <t>Meta inks geothermal deal with startup XGS Energy | Trellis</t>
        </is>
      </c>
      <c r="D226" s="6" t="inlineStr">
        <is>
          <t>https://trellis.net/article/meta-geothermal-deal-xgs-energy/</t>
        </is>
      </c>
      <c r="E226" s="6" t="inlineStr">
        <is>
          <t>2026-09-29</t>
        </is>
      </c>
      <c r="F226" s="6" t="inlineStr">
        <is>
          <t>June 24, 2025</t>
        </is>
      </c>
      <c r="G226" s="6" t="inlineStr">
        <is>
          <t>searched, not cited in a cell</t>
        </is>
      </c>
    </row>
    <row r="227">
      <c r="B227" s="7" t="inlineStr">
        <is>
          <t>S222</t>
        </is>
      </c>
      <c r="C227" s="7" t="inlineStr">
        <is>
          <t>XGS Energy raises $20 million additional funding for next-generation geothermal</t>
        </is>
      </c>
      <c r="D227" s="7" t="inlineStr">
        <is>
          <t>https://www.thinkgeoenergy.com/xgs-energy-raises-20-million-additional-funding-for-next-generation-geothermal/</t>
        </is>
      </c>
      <c r="E227" s="7" t="inlineStr">
        <is>
          <t>2026-09-29</t>
        </is>
      </c>
      <c r="F227" s="7" t="inlineStr">
        <is>
          <t>May 22, 2024</t>
        </is>
      </c>
      <c r="G227" s="7" t="inlineStr">
        <is>
          <t>searched, not cited in a cell</t>
        </is>
      </c>
    </row>
    <row r="228">
      <c r="B228" s="6" t="inlineStr">
        <is>
          <t>S223</t>
        </is>
      </c>
      <c r="C228" s="6" t="inlineStr">
        <is>
          <t>XGS Energy: Funding, Team &amp; Investors | Startup Intros</t>
        </is>
      </c>
      <c r="D228" s="6" t="inlineStr">
        <is>
          <t>https://startupintros.com/orgs/xgs-energy</t>
        </is>
      </c>
      <c r="E228" s="6" t="inlineStr">
        <is>
          <t>2026-09-29</t>
        </is>
      </c>
      <c r="F228" s="6" t="inlineStr">
        <is>
          <t>July 13, 2026</t>
        </is>
      </c>
      <c r="G228" s="6" t="inlineStr">
        <is>
          <t>searched, not cited in a cell</t>
        </is>
      </c>
    </row>
    <row r="229">
      <c r="B229" s="7" t="inlineStr">
        <is>
          <t>S224</t>
        </is>
      </c>
      <c r="C229" s="7" t="inlineStr">
        <is>
          <t>Meta bets on XGS Energy in second major geothermal deal | Latitude Media</t>
        </is>
      </c>
      <c r="D229" s="7" t="inlineStr">
        <is>
          <t>https://www.latitudemedia.com/news/meta-bets-on-xgs-energy-in-second-major-geothermal-deal/</t>
        </is>
      </c>
      <c r="E229" s="7" t="inlineStr">
        <is>
          <t>2026-09-29</t>
        </is>
      </c>
      <c r="F229" s="7" t="inlineStr">
        <is>
          <t>June 12, 2025</t>
        </is>
      </c>
      <c r="G229" s="7" t="inlineStr">
        <is>
          <t>searched, not cited in a cell</t>
        </is>
      </c>
    </row>
    <row r="230">
      <c r="B230" s="6" t="inlineStr">
        <is>
          <t>S225</t>
        </is>
      </c>
      <c r="C230" s="6" t="inlineStr">
        <is>
          <t>XGS Energy says its advanced geothermal tech is ready… | Canary Media</t>
        </is>
      </c>
      <c r="D230" s="6" t="inlineStr">
        <is>
          <t>https://www.canarymedia.com/articles/geothermal/xgs-energy-advanced-tech-scale-up-meta</t>
        </is>
      </c>
      <c r="E230" s="6" t="inlineStr">
        <is>
          <t>2026-09-29</t>
        </is>
      </c>
      <c r="F230" s="6" t="inlineStr">
        <is>
          <t>September 30, 2025</t>
        </is>
      </c>
      <c r="G230" s="6" t="inlineStr">
        <is>
          <t>searched, not cited in a cell</t>
        </is>
      </c>
    </row>
    <row r="231">
      <c r="B231" s="7" t="inlineStr">
        <is>
          <t>S226</t>
        </is>
      </c>
      <c r="C231" s="7" t="inlineStr">
        <is>
          <t>Geothermal Innovator XGS Energy Completes Oversubscribed $20M Capital Raise – XGS Energy</t>
        </is>
      </c>
      <c r="D231" s="7" t="inlineStr">
        <is>
          <t>https://www.xgsenergy.com/geothermal-innovator-xgs-energy-completes-oversubscribed-20m-capital-raise/</t>
        </is>
      </c>
      <c r="E231" s="7" t="inlineStr">
        <is>
          <t>2026-09-29</t>
        </is>
      </c>
      <c r="F231" s="7" t="inlineStr"/>
      <c r="G231" s="7" t="inlineStr">
        <is>
          <t>searched, not cited in a cell</t>
        </is>
      </c>
    </row>
    <row r="232">
      <c r="B232" s="6" t="inlineStr">
        <is>
          <t>S227</t>
        </is>
      </c>
      <c r="C232" s="6" t="inlineStr">
        <is>
          <t>Press Release – XGS Energy</t>
        </is>
      </c>
      <c r="D232" s="6" t="inlineStr">
        <is>
          <t>https://www.xgsenergy.com/category/press-release/</t>
        </is>
      </c>
      <c r="E232" s="6" t="inlineStr">
        <is>
          <t>2026-09-29</t>
        </is>
      </c>
      <c r="F232" s="6" t="inlineStr"/>
      <c r="G232" s="6" t="inlineStr">
        <is>
          <t>searched, not cited in a cell</t>
        </is>
      </c>
    </row>
    <row r="233">
      <c r="B233" s="7" t="inlineStr">
        <is>
          <t>S228</t>
        </is>
      </c>
      <c r="C233" s="7" t="inlineStr">
        <is>
          <t>Geothermal exploration</t>
        </is>
      </c>
      <c r="D233" s="7" t="inlineStr">
        <is>
          <t>https://en.wikipedia.org/wiki/Geothermal_exploration</t>
        </is>
      </c>
      <c r="E233" s="7" t="inlineStr">
        <is>
          <t>2026-09-29</t>
        </is>
      </c>
      <c r="F233" s="7" t="inlineStr"/>
      <c r="G233" s="7" t="inlineStr">
        <is>
          <t>searched, not cited in a cell</t>
        </is>
      </c>
    </row>
    <row r="234">
      <c r="B234" s="6" t="inlineStr">
        <is>
          <t>S229</t>
        </is>
      </c>
      <c r="C234" s="6" t="inlineStr">
        <is>
          <t>EU-funded GeoHEAT project seeks to improve success rate of deep geothermal</t>
        </is>
      </c>
      <c r="D234" s="6" t="inlineStr">
        <is>
          <t>https://www.thinkgeoenergy.com/eu-funded-geoheat-project-seeks-to-improve-success-rate-of-deep-geothermal/</t>
        </is>
      </c>
      <c r="E234" s="6" t="inlineStr">
        <is>
          <t>2026-09-29</t>
        </is>
      </c>
      <c r="F234" s="6" t="inlineStr">
        <is>
          <t>October 29, 2024</t>
        </is>
      </c>
      <c r="G234" s="6" t="inlineStr">
        <is>
          <t>searched, not cited in a cell</t>
        </is>
      </c>
    </row>
    <row r="235">
      <c r="B235" s="7" t="inlineStr">
        <is>
          <t>S230</t>
        </is>
      </c>
      <c r="C235" s="7" t="inlineStr">
        <is>
          <t>Introducing GeoHEAT: Georadar-aided High-resolution Exploration for Advancing geoThermal energy usage</t>
        </is>
      </c>
      <c r="D235" s="7" t="inlineStr">
        <is>
          <t>https://arxiv.org/pdf/2511.09095</t>
        </is>
      </c>
      <c r="E235" s="7" t="inlineStr">
        <is>
          <t>2026-09-29</t>
        </is>
      </c>
      <c r="F235" s="7" t="inlineStr"/>
      <c r="G235" s="7" t="inlineStr">
        <is>
          <t>searched, not cited in a cell</t>
        </is>
      </c>
    </row>
    <row r="236">
      <c r="B236" s="6" t="inlineStr">
        <is>
          <t>S231</t>
        </is>
      </c>
      <c r="C236" s="6" t="inlineStr">
        <is>
          <t>A Critical Review of Existing Probability of Success (PoS) Methods in Geothermal Exploration and Introduction of Demand Oriented, Geologically Conditi</t>
        </is>
      </c>
      <c r="D236" s="6" t="inlineStr">
        <is>
          <t>https://www.researchsquare.com/article/rs-11030088/v1</t>
        </is>
      </c>
      <c r="E236" s="6" t="inlineStr">
        <is>
          <t>2026-09-29</t>
        </is>
      </c>
      <c r="F236" s="6" t="inlineStr">
        <is>
          <t>3 days ago</t>
        </is>
      </c>
      <c r="G236" s="6" t="inlineStr">
        <is>
          <t>searched, not cited in a cell</t>
        </is>
      </c>
    </row>
    <row r="237">
      <c r="B237" s="7" t="inlineStr">
        <is>
          <t>S232</t>
        </is>
      </c>
      <c r="C237" s="7" t="inlineStr">
        <is>
          <t>Probability of success studies for geothermal projects in clastic reservoirs: From subsurface data to geological risk analysis - ScienceDirect</t>
        </is>
      </c>
      <c r="D237" s="7" t="inlineStr">
        <is>
          <t>https://www.sciencedirect.com/science/article/pii/S0375650517304236</t>
        </is>
      </c>
      <c r="E237" s="7" t="inlineStr">
        <is>
          <t>2026-09-29</t>
        </is>
      </c>
      <c r="F237" s="7" t="inlineStr">
        <is>
          <t>September 16, 2019</t>
        </is>
      </c>
      <c r="G237" s="7" t="inlineStr">
        <is>
          <t>searched, not cited in a cell</t>
        </is>
      </c>
    </row>
    <row r="238">
      <c r="B238" s="6" t="inlineStr">
        <is>
          <t>S233</t>
        </is>
      </c>
      <c r="C238" s="6" t="inlineStr">
        <is>
          <t>Subsurface Accessibility | Department of Energy</t>
        </is>
      </c>
      <c r="D238" s="6" t="inlineStr">
        <is>
          <t>https://www.energy.gov/eere/geothermal/subsurface-accessibility</t>
        </is>
      </c>
      <c r="E238" s="6" t="inlineStr">
        <is>
          <t>2026-09-29</t>
        </is>
      </c>
      <c r="F238" s="6" t="inlineStr"/>
      <c r="G238" s="6" t="inlineStr">
        <is>
          <t>searched, not cited in a cell</t>
        </is>
      </c>
    </row>
    <row r="239">
      <c r="B239" s="7" t="inlineStr">
        <is>
          <t>S234</t>
        </is>
      </c>
      <c r="C239" s="7" t="inlineStr">
        <is>
          <t>The State of Geothermal Technology Part I: Subsurface Technology</t>
        </is>
      </c>
      <c r="D239" s="7" t="inlineStr">
        <is>
          <t>https://www.geothermal.org/sites/default/files/2021-02/Geothermal_Technology_Part_I-Subsurface_Technology.pdf</t>
        </is>
      </c>
      <c r="E239" s="7" t="inlineStr">
        <is>
          <t>2026-09-29</t>
        </is>
      </c>
      <c r="F239" s="7" t="inlineStr"/>
      <c r="G239" s="7" t="inlineStr">
        <is>
          <t>searched, not cited in a cell</t>
        </is>
      </c>
    </row>
    <row r="240">
      <c r="B240" s="6" t="inlineStr">
        <is>
          <t>S235</t>
        </is>
      </c>
      <c r="C240" s="6" t="inlineStr">
        <is>
          <t>NEPA — Department of the Interior – Environmental and Energy Law Program</t>
        </is>
      </c>
      <c r="D240" s="6" t="inlineStr">
        <is>
          <t>https://eelp.law.harvard.edu/tracker/nepa-department-of-the-interior/</t>
        </is>
      </c>
      <c r="E240" s="6" t="inlineStr">
        <is>
          <t>2026-09-29</t>
        </is>
      </c>
      <c r="F240" s="6" t="inlineStr"/>
      <c r="G240" s="6" t="inlineStr">
        <is>
          <t>searched, not cited in a cell</t>
        </is>
      </c>
    </row>
    <row r="241">
      <c r="B241" s="7" t="inlineStr">
        <is>
          <t>S236</t>
        </is>
      </c>
      <c r="C241" s="7" t="inlineStr">
        <is>
          <t>BLM streamlines permitting for small-scale geothermal exploration</t>
        </is>
      </c>
      <c r="D241" s="7" t="inlineStr">
        <is>
          <t>https://www.thinkgeoenergy.com/blm-streamlines-permitting-for-small-scale-geothermal-exploration/</t>
        </is>
      </c>
      <c r="E241" s="7" t="inlineStr">
        <is>
          <t>2026-09-29</t>
        </is>
      </c>
      <c r="F241" s="7" t="inlineStr">
        <is>
          <t>April 29, 2026</t>
        </is>
      </c>
      <c r="G241" s="7" t="inlineStr">
        <is>
          <t>searched, not cited in a cell</t>
        </is>
      </c>
    </row>
    <row r="242">
      <c r="B242" s="6" t="inlineStr">
        <is>
          <t>S237</t>
        </is>
      </c>
      <c r="C242" s="6" t="inlineStr">
        <is>
          <t>New categorical exclusion to facilitate permitting of geothermal projects in the US</t>
        </is>
      </c>
      <c r="D242" s="6" t="inlineStr">
        <is>
          <t>https://www.thinkgeoenergy.com/new-categorical-exclusion-to-facilitate-permitting-of-geothermal-projects-in-the-us/</t>
        </is>
      </c>
      <c r="E242" s="6" t="inlineStr">
        <is>
          <t>2026-09-29</t>
        </is>
      </c>
      <c r="F242" s="6" t="inlineStr">
        <is>
          <t>January 17, 2025</t>
        </is>
      </c>
      <c r="G242" s="6" t="inlineStr">
        <is>
          <t>searched, not cited in a cell</t>
        </is>
      </c>
    </row>
    <row r="243">
      <c r="B243" s="7" t="inlineStr">
        <is>
          <t>S238</t>
        </is>
      </c>
      <c r="C243" s="7" t="inlineStr">
        <is>
          <t>Federal Register :: National Environmental Policy Act Implementing Procedures for the Bureau of Land Management (516 DM 11)</t>
        </is>
      </c>
      <c r="D243" s="7" t="inlineStr">
        <is>
          <t>https://www.federalregister.gov/documents/2025/01/17/2025-01084/national-environmental-policy-act-implementing-procedures-for-the-bureau-of-land-management-516-dm</t>
        </is>
      </c>
      <c r="E243" s="7" t="inlineStr">
        <is>
          <t>2026-09-29</t>
        </is>
      </c>
      <c r="F243" s="7" t="inlineStr">
        <is>
          <t>January 17, 2025</t>
        </is>
      </c>
      <c r="G243" s="7" t="inlineStr">
        <is>
          <t>searched, not cited in a cell</t>
        </is>
      </c>
    </row>
    <row r="244">
      <c r="B244" s="6" t="inlineStr">
        <is>
          <t>S239</t>
        </is>
      </c>
      <c r="C244" s="6" t="inlineStr">
        <is>
          <t>BLM adopts categorical exclusions to expedite geothermal energy permitting | Bureau of Land Management</t>
        </is>
      </c>
      <c r="D244" s="6" t="inlineStr">
        <is>
          <t>https://www.blm.gov/press-release/blm-adopts-categorical-exclusions-expedite-geothermal-energy-permitting</t>
        </is>
      </c>
      <c r="E244" s="6" t="inlineStr">
        <is>
          <t>2026-09-29</t>
        </is>
      </c>
      <c r="F244" s="6" t="inlineStr">
        <is>
          <t>April 15, 2024</t>
        </is>
      </c>
      <c r="G244" s="6" t="inlineStr">
        <is>
          <t>searched, not cited in a cell</t>
        </is>
      </c>
    </row>
    <row r="245">
      <c r="B245" s="7" t="inlineStr">
        <is>
          <t>S240</t>
        </is>
      </c>
      <c r="C245" s="7" t="inlineStr">
        <is>
          <t>BLM takes steps to accelerate geothermal energy development | Bureau of Land Management</t>
        </is>
      </c>
      <c r="D245" s="7" t="inlineStr">
        <is>
          <t>https://www.blm.gov/announcement/blm-takes-steps-accelerate-geothermal-energy-development</t>
        </is>
      </c>
      <c r="E245" s="7" t="inlineStr">
        <is>
          <t>2026-09-29</t>
        </is>
      </c>
      <c r="F245" s="7" t="inlineStr">
        <is>
          <t>January 16, 2025</t>
        </is>
      </c>
      <c r="G245" s="7" t="inlineStr">
        <is>
          <t>searched, not cited in a cell</t>
        </is>
      </c>
    </row>
    <row r="246">
      <c r="B246" s="6" t="inlineStr">
        <is>
          <t>S241</t>
        </is>
      </c>
      <c r="C246" s="6" t="inlineStr">
        <is>
          <t>Biden-Harris Administration Takes Major Steps to Accelerate Clean Energy Geothermal Development on Public Lands | U.S. Department of the Interior</t>
        </is>
      </c>
      <c r="D246" s="6" t="inlineStr">
        <is>
          <t>https://www.doi.gov/pressreleases/biden-harris-administration-takes-major-steps-accelerate-clean-energy-geothermal</t>
        </is>
      </c>
      <c r="E246" s="6" t="inlineStr">
        <is>
          <t>2026-09-29</t>
        </is>
      </c>
      <c r="F246" s="6" t="inlineStr">
        <is>
          <t>October 17, 2024</t>
        </is>
      </c>
      <c r="G246" s="6" t="inlineStr">
        <is>
          <t>searched, not cited in a cell</t>
        </is>
      </c>
    </row>
    <row r="247">
      <c r="B247" s="7" t="inlineStr">
        <is>
          <t>S242</t>
        </is>
      </c>
      <c r="C247" s="7" t="inlineStr">
        <is>
          <t>Biden BLM streamlines geothermal permits</t>
        </is>
      </c>
      <c r="D247" s="7" t="inlineStr">
        <is>
          <t>https://www.energycentral.com/energy-biz/post/biden-blm-streamlines-geothermal-permits-yeFdnMorMsX8g5w</t>
        </is>
      </c>
      <c r="E247" s="7" t="inlineStr">
        <is>
          <t>2026-09-29</t>
        </is>
      </c>
      <c r="F247" s="7" t="inlineStr">
        <is>
          <t>April 19, 2024</t>
        </is>
      </c>
      <c r="G247" s="7" t="inlineStr">
        <is>
          <t>searched, not cited in a cell</t>
        </is>
      </c>
    </row>
    <row r="248">
      <c r="B248" s="6" t="inlineStr">
        <is>
          <t>S243</t>
        </is>
      </c>
      <c r="C248" s="6" t="inlineStr">
        <is>
          <t>Biden BLM streamlines geothermal permits | Energy Central</t>
        </is>
      </c>
      <c r="D248" s="6" t="inlineStr">
        <is>
          <t>https://energycentral.com/c/um/biden-blm-streamlines-geothermal-permits</t>
        </is>
      </c>
      <c r="E248" s="6" t="inlineStr">
        <is>
          <t>2026-09-29</t>
        </is>
      </c>
      <c r="F248" s="6" t="inlineStr">
        <is>
          <t>April 19, 2024</t>
        </is>
      </c>
      <c r="G248" s="6" t="inlineStr">
        <is>
          <t>searched, not cited in a cell</t>
        </is>
      </c>
    </row>
    <row r="249">
      <c r="B249" s="7" t="inlineStr">
        <is>
          <t>S244</t>
        </is>
      </c>
      <c r="C249" s="7" t="inlineStr">
        <is>
          <t>Energy Policy | Geothermal Rising :: Using the Earth to Save the Earth</t>
        </is>
      </c>
      <c r="D249" s="7" t="inlineStr">
        <is>
          <t>https://geothermal.org/taxonomy/term/62</t>
        </is>
      </c>
      <c r="E249" s="7" t="inlineStr">
        <is>
          <t>2026-09-29</t>
        </is>
      </c>
      <c r="F249" s="7" t="inlineStr"/>
      <c r="G249" s="7" t="inlineStr">
        <is>
          <t>searched, not cited in a cell</t>
        </is>
      </c>
    </row>
    <row r="250">
      <c r="B250" s="6" t="inlineStr">
        <is>
          <t>S245</t>
        </is>
      </c>
      <c r="C250" s="6" t="inlineStr">
        <is>
          <t>Geothermal Energy Survives Trump's "Big Beautiful Bill" - IEEE Spectrum</t>
        </is>
      </c>
      <c r="D250" s="6" t="inlineStr">
        <is>
          <t>https://spectrum.ieee.org/geothermal-energy-big-beautiful-bill</t>
        </is>
      </c>
      <c r="E250" s="6" t="inlineStr">
        <is>
          <t>2026-09-29</t>
        </is>
      </c>
      <c r="F250" s="6" t="inlineStr">
        <is>
          <t>July 28, 2025</t>
        </is>
      </c>
      <c r="G250" s="6" t="inlineStr">
        <is>
          <t>searched, not cited in a cell</t>
        </is>
      </c>
    </row>
    <row r="251">
      <c r="B251" s="7" t="inlineStr">
        <is>
          <t>S246</t>
        </is>
      </c>
      <c r="C251" s="7" t="inlineStr">
        <is>
          <t>Geothermal survives in 'big, beautiful' budget bill —… | Canary Media</t>
        </is>
      </c>
      <c r="D251" s="7" t="inlineStr">
        <is>
          <t>https://www.canarymedia.com/articles/geothermal/enhanced-trump-bill-tax-credits</t>
        </is>
      </c>
      <c r="E251" s="7" t="inlineStr">
        <is>
          <t>2026-09-29</t>
        </is>
      </c>
      <c r="F251" s="7" t="inlineStr">
        <is>
          <t>July 9, 2025</t>
        </is>
      </c>
      <c r="G251" s="7" t="inlineStr">
        <is>
          <t>searched, not cited in a cell</t>
        </is>
      </c>
    </row>
    <row r="252">
      <c r="B252" s="6" t="inlineStr">
        <is>
          <t>S247</t>
        </is>
      </c>
      <c r="C252" s="6" t="inlineStr">
        <is>
          <t>Impact of “One Big Beautiful Bill” on Clean Energy Tax Credits: Chapman and Cutler LLP</t>
        </is>
      </c>
      <c r="D252" s="6" t="inlineStr">
        <is>
          <t>https://www.chapman.com/publication-impact-of-one-big-beautiful-bill-on-clean-energy-tax-credits</t>
        </is>
      </c>
      <c r="E252" s="6" t="inlineStr">
        <is>
          <t>2026-09-29</t>
        </is>
      </c>
      <c r="F252" s="6" t="inlineStr"/>
      <c r="G252" s="6" t="inlineStr">
        <is>
          <t>searched, not cited in a cell</t>
        </is>
      </c>
    </row>
    <row r="253">
      <c r="B253" s="7" t="inlineStr">
        <is>
          <t>S248</t>
        </is>
      </c>
      <c r="C253" s="7" t="inlineStr">
        <is>
          <t>Effects Of "One Big Beautiful Bill" On Projects</t>
        </is>
      </c>
      <c r="D253" s="7" t="inlineStr">
        <is>
          <t>https://www.projectfinance.law/publications/effects-of-one-big-beautiful-bill-on-projects</t>
        </is>
      </c>
      <c r="E253" s="7" t="inlineStr">
        <is>
          <t>2026-09-29</t>
        </is>
      </c>
      <c r="F253" s="7" t="inlineStr">
        <is>
          <t>May 14, 2026</t>
        </is>
      </c>
      <c r="G253" s="7" t="inlineStr">
        <is>
          <t>searched, not cited in a cell</t>
        </is>
      </c>
    </row>
    <row r="254">
      <c r="B254" s="6" t="inlineStr">
        <is>
          <t>S249</t>
        </is>
      </c>
      <c r="C254" s="6" t="inlineStr">
        <is>
          <t>How the One Big Beautiful Bill Changes Green Energy Tax Credits</t>
        </is>
      </c>
      <c r="D254" s="6" t="inlineStr">
        <is>
          <t>https://taxfoundation.org/blog/big-beautiful-bill-green-energy-tax-credit-changes/</t>
        </is>
      </c>
      <c r="E254" s="6" t="inlineStr">
        <is>
          <t>2026-09-29</t>
        </is>
      </c>
      <c r="F254" s="6" t="inlineStr">
        <is>
          <t>August 12, 2025</t>
        </is>
      </c>
      <c r="G254" s="6" t="inlineStr">
        <is>
          <t>searched, not cited in a cell</t>
        </is>
      </c>
    </row>
    <row r="255">
      <c r="B255" s="7" t="inlineStr">
        <is>
          <t>S250</t>
        </is>
      </c>
      <c r="C255" s="7" t="inlineStr">
        <is>
          <t>New IRS MACR Guidance: What It Means for Section 45X Advanced Manufacturing Production Tax Credits | Energy &amp; Climate Counsel | Foley Hoag LLP</t>
        </is>
      </c>
      <c r="D255" s="7" t="inlineStr">
        <is>
          <t>https://foleyhoag.com/news-and-insights/blogs/energy-and-climate-counsel/2026/march/new-irs-macr-guidance-what-it-means-for-section-45x-advanced-manufacturing-production-tax-credits/</t>
        </is>
      </c>
      <c r="E255" s="7" t="inlineStr">
        <is>
          <t>2026-09-29</t>
        </is>
      </c>
      <c r="F255" s="7" t="inlineStr">
        <is>
          <t>March 30, 2026</t>
        </is>
      </c>
      <c r="G255" s="7" t="inlineStr">
        <is>
          <t>searched, not cited in a cell</t>
        </is>
      </c>
    </row>
    <row r="256">
      <c r="B256" s="6" t="inlineStr">
        <is>
          <t>S251</t>
        </is>
      </c>
      <c r="C256" s="6" t="inlineStr">
        <is>
          <t>A Summary of the Tax Credit Implications of the One Big Beautiful Bill Act - Leo Berwick</t>
        </is>
      </c>
      <c r="D256" s="6" t="inlineStr">
        <is>
          <t>https://www.leoberwick.com/summary-of-the-tax-credit-implications-of-the-one-big-beautiful-bill-act/</t>
        </is>
      </c>
      <c r="E256" s="6" t="inlineStr">
        <is>
          <t>2026-09-29</t>
        </is>
      </c>
      <c r="F256" s="6" t="inlineStr">
        <is>
          <t>July 6, 2025</t>
        </is>
      </c>
      <c r="G256" s="6" t="inlineStr">
        <is>
          <t>searched, not cited in a cell</t>
        </is>
      </c>
    </row>
    <row r="257">
      <c r="B257" s="7" t="inlineStr">
        <is>
          <t>S252</t>
        </is>
      </c>
      <c r="C257" s="7" t="inlineStr">
        <is>
          <t>Geothermal heat pump systems tax incentives | Our Insights | Plante Moran</t>
        </is>
      </c>
      <c r="D257" s="7" t="inlineStr">
        <is>
          <t>https://www.plantemoran.com/explore-our-thinking/insight/2026/02/geothermal-heat-pump-systems-tax-incentives</t>
        </is>
      </c>
      <c r="E257" s="7" t="inlineStr">
        <is>
          <t>2026-09-29</t>
        </is>
      </c>
      <c r="F257" s="7" t="inlineStr">
        <is>
          <t>February 27, 2026</t>
        </is>
      </c>
      <c r="G257" s="7" t="inlineStr">
        <is>
          <t>searched, not cited in a cell</t>
        </is>
      </c>
    </row>
    <row r="258">
      <c r="B258" s="6" t="inlineStr">
        <is>
          <t>S253</t>
        </is>
      </c>
      <c r="C258" s="6" t="inlineStr">
        <is>
          <t>Fervo geothermal plant gets $421M in debt financing from Barclays, HSBC | Utility Dive</t>
        </is>
      </c>
      <c r="D258" s="6" t="inlineStr">
        <is>
          <t>https://www.utilitydive.com/news/fervo-geothermal-plant-gets-421m-in-debt-financing-from-barclays-hsbc/815221/</t>
        </is>
      </c>
      <c r="E258" s="6" t="inlineStr">
        <is>
          <t>2026-09-29</t>
        </is>
      </c>
      <c r="F258" s="6" t="inlineStr">
        <is>
          <t>March 19, 2026</t>
        </is>
      </c>
      <c r="G258" s="6" t="inlineStr">
        <is>
          <t>'Capital'!B9:H9; 'Capital'!B11</t>
        </is>
      </c>
    </row>
    <row r="259">
      <c r="B259" s="7" t="inlineStr">
        <is>
          <t>S254</t>
        </is>
      </c>
      <c r="C259" s="7" t="inlineStr">
        <is>
          <t>Fervo geothermal plant gets $421M in debt financing from Barclays, HSBC, more | ESG Dive</t>
        </is>
      </c>
      <c r="D259" s="7" t="inlineStr">
        <is>
          <t>https://www.esgdive.com/news/fervo-geothermal-plant-gets-421m-in-debt-financing-from-barclays-hsbc-mo/815213/</t>
        </is>
      </c>
      <c r="E259" s="7" t="inlineStr">
        <is>
          <t>2026-09-29</t>
        </is>
      </c>
      <c r="F259" s="7" t="inlineStr">
        <is>
          <t>March 19, 2026</t>
        </is>
      </c>
      <c r="G259" s="7" t="inlineStr">
        <is>
          <t>searched, not cited in a cell</t>
        </is>
      </c>
    </row>
    <row r="260">
      <c r="B260" s="6" t="inlineStr">
        <is>
          <t>S255</t>
        </is>
      </c>
      <c r="C260" s="6" t="inlineStr">
        <is>
          <t>Fervo Energy Geothermal 2026, $421M BNP Paribas Debt - EnkiAI</t>
        </is>
      </c>
      <c r="D260" s="6" t="inlineStr">
        <is>
          <t>https://enkiai.com/geothermal/fervo-energy-enhanced-geothermal-cape-2/</t>
        </is>
      </c>
      <c r="E260" s="6" t="inlineStr">
        <is>
          <t>2026-09-29</t>
        </is>
      </c>
      <c r="F260" s="6" t="inlineStr">
        <is>
          <t>June 15, 2026</t>
        </is>
      </c>
      <c r="G260" s="6" t="inlineStr">
        <is>
          <t>searched, not cited in a cell</t>
        </is>
      </c>
    </row>
    <row r="261">
      <c r="B261" s="7" t="inlineStr">
        <is>
          <t>S256</t>
        </is>
      </c>
      <c r="C261" s="7" t="inlineStr">
        <is>
          <t>Discovery and analysis of a blind geothermal system in southeastern Gabbs Valley, western Nevada, USA - ScienceDirect</t>
        </is>
      </c>
      <c r="D261" s="7" t="inlineStr">
        <is>
          <t>https://www.sciencedirect.com/science/article/abs/pii/S0375650521001371</t>
        </is>
      </c>
      <c r="E261" s="7" t="inlineStr">
        <is>
          <t>2026-09-29</t>
        </is>
      </c>
      <c r="F261" s="7" t="inlineStr">
        <is>
          <t>October 13, 2021</t>
        </is>
      </c>
      <c r="G261" s="7" t="inlineStr">
        <is>
          <t>searched, not cited in a cell</t>
        </is>
      </c>
    </row>
    <row r="262">
      <c r="B262" s="6" t="inlineStr">
        <is>
          <t>S257</t>
        </is>
      </c>
      <c r="C262" s="6" t="inlineStr">
        <is>
          <t>GeoThermalCloud: Machine Learning for Geothermal Resource Exploration | Journal Article | PNNL</t>
        </is>
      </c>
      <c r="D262" s="6" t="inlineStr">
        <is>
          <t>https://www.pnnl.gov/publications/geothermalcloud-machine-learning-geothermal-resource-exploration</t>
        </is>
      </c>
      <c r="E262" s="6" t="inlineStr">
        <is>
          <t>2026-09-29</t>
        </is>
      </c>
      <c r="F262" s="6" t="inlineStr">
        <is>
          <t>January 13, 2023</t>
        </is>
      </c>
      <c r="G262" s="6" t="inlineStr">
        <is>
          <t>searched, not cited in a cell</t>
        </is>
      </c>
    </row>
    <row r="263">
      <c r="B263" s="7" t="inlineStr">
        <is>
          <t>S258</t>
        </is>
      </c>
      <c r="C263" s="7" t="inlineStr">
        <is>
          <t>A Review of Exploration Methods for Discovering Hidden ...</t>
        </is>
      </c>
      <c r="D263" s="7" t="inlineStr">
        <is>
          <t>https://publications.mygeoenergynow.org/grc/1032385.pdf</t>
        </is>
      </c>
      <c r="E263" s="7" t="inlineStr">
        <is>
          <t>2026-09-29</t>
        </is>
      </c>
      <c r="F263" s="7" t="inlineStr"/>
      <c r="G263" s="7" t="inlineStr">
        <is>
          <t>searched, not cited in a cell</t>
        </is>
      </c>
    </row>
    <row r="264">
      <c r="B264" s="6" t="inlineStr">
        <is>
          <t>S259</t>
        </is>
      </c>
      <c r="C264" s="6" t="inlineStr">
        <is>
          <t>Discovering blind geothermal systems in the Great Basin Region: An integrated geologic and geophysical approach for establishing geothermal play fairw</t>
        </is>
      </c>
      <c r="D264" s="6" t="inlineStr">
        <is>
          <t>https://www.usgs.gov/publications/discovering-blind-geothermal-systems-great-basin-region-integrated-geologic-and</t>
        </is>
      </c>
      <c r="E264" s="6" t="inlineStr">
        <is>
          <t>2026-09-29</t>
        </is>
      </c>
      <c r="F264" s="6" t="inlineStr"/>
      <c r="G264" s="6" t="inlineStr">
        <is>
          <t>searched, not cited in a cell</t>
        </is>
      </c>
    </row>
    <row r="265">
      <c r="B265" s="7" t="inlineStr">
        <is>
          <t>S260</t>
        </is>
      </c>
      <c r="C265" s="7" t="inlineStr">
        <is>
          <t>INGENIOUS project - Great Basin Center for Geothermal Energy</t>
        </is>
      </c>
      <c r="D265" s="7" t="inlineStr">
        <is>
          <t>https://gbcge.org/current-projects/ingenious/</t>
        </is>
      </c>
      <c r="E265" s="7" t="inlineStr">
        <is>
          <t>2026-09-29</t>
        </is>
      </c>
      <c r="F265" s="7" t="inlineStr">
        <is>
          <t>June 14, 2023</t>
        </is>
      </c>
      <c r="G265" s="7" t="inlineStr">
        <is>
          <t>searched, not cited in a cell</t>
        </is>
      </c>
    </row>
    <row r="266">
      <c r="B266" s="6" t="inlineStr">
        <is>
          <t>S261</t>
        </is>
      </c>
      <c r="C266" s="6" t="inlineStr">
        <is>
          <t>pangea.stanford.edu</t>
        </is>
      </c>
      <c r="D266" s="6" t="inlineStr">
        <is>
          <t>https://pangea.stanford.edu/ERE/db/GeoConf/papers/SGW/2026/Jacinto.pdf</t>
        </is>
      </c>
      <c r="E266" s="6" t="inlineStr">
        <is>
          <t>2026-09-29</t>
        </is>
      </c>
      <c r="F266" s="6" t="inlineStr"/>
      <c r="G266" s="6" t="inlineStr">
        <is>
          <t>searched, not cited in a cell</t>
        </is>
      </c>
    </row>
    <row r="267">
      <c r="B267" s="7" t="inlineStr">
        <is>
          <t>S262</t>
        </is>
      </c>
      <c r="C267" s="7" t="inlineStr">
        <is>
          <t>Geothermal Wildcatter Zanskar, Which Uses AI to Find Heat, Raises $115 Million</t>
        </is>
      </c>
      <c r="D267" s="7" t="inlineStr">
        <is>
          <t>https://finance.yahoo.com/news/geothermal-wildcatter-zanskar-uses-ai-120000063.html</t>
        </is>
      </c>
      <c r="E267" s="7" t="inlineStr">
        <is>
          <t>2026-09-29</t>
        </is>
      </c>
      <c r="F267" s="7" t="inlineStr">
        <is>
          <t>January 21, 2026</t>
        </is>
      </c>
      <c r="G267" s="7" t="inlineStr">
        <is>
          <t>searched, not cited in a cell</t>
        </is>
      </c>
    </row>
    <row r="268">
      <c r="B268" s="6" t="inlineStr">
        <is>
          <t>S263</t>
        </is>
      </c>
      <c r="C268" s="6" t="inlineStr">
        <is>
          <t>Zanskar Raises $115 Million to Propel Geothermal Discoveries - Heatmap News</t>
        </is>
      </c>
      <c r="D268" s="6" t="inlineStr">
        <is>
          <t>https://heatmap.news/climate-tech/zanskar-series-c</t>
        </is>
      </c>
      <c r="E268" s="6" t="inlineStr">
        <is>
          <t>2026-09-29</t>
        </is>
      </c>
      <c r="F268" s="6" t="inlineStr">
        <is>
          <t>January 21, 2026</t>
        </is>
      </c>
      <c r="G268" s="6" t="inlineStr">
        <is>
          <t>searched, not cited in a cell</t>
        </is>
      </c>
    </row>
    <row r="269">
      <c r="B269" s="7" t="inlineStr">
        <is>
          <t>S264</t>
        </is>
      </c>
      <c r="C269" s="7" t="inlineStr">
        <is>
          <t>Zanskar — Climate &amp; Clean Energy</t>
        </is>
      </c>
      <c r="D269" s="7" t="inlineStr">
        <is>
          <t>https://f4.fund/startups/zanskar</t>
        </is>
      </c>
      <c r="E269" s="7" t="inlineStr">
        <is>
          <t>2026-09-29</t>
        </is>
      </c>
      <c r="F269" s="7" t="inlineStr"/>
      <c r="G269" s="7" t="inlineStr">
        <is>
          <t>searched, not cited in a cell</t>
        </is>
      </c>
    </row>
    <row r="270">
      <c r="B270" s="6" t="inlineStr">
        <is>
          <t>E1</t>
        </is>
      </c>
      <c r="C270" s="6" t="inlineStr">
        <is>
          <t>ERW list_tables</t>
        </is>
      </c>
      <c r="D270" s="6" t="inlineStr">
        <is>
          <t>https://github.com/SamuelEnrique/erw (list_tables)</t>
        </is>
      </c>
      <c r="E270" s="6" t="inlineStr">
        <is>
          <t>2026-09-29</t>
        </is>
      </c>
      <c r="F270" s="6" t="inlineStr"/>
      <c r="G270" s="6" t="inlineStr">
        <is>
          <t>queried, not cited in a cell</t>
        </is>
      </c>
    </row>
    <row r="271">
      <c r="B271" s="7" t="inlineStr">
        <is>
          <t>E2</t>
        </is>
      </c>
      <c r="C271" s="7" t="inlineStr">
        <is>
          <t>ERW list_tables</t>
        </is>
      </c>
      <c r="D271" s="7" t="inlineStr">
        <is>
          <t>https://github.com/SamuelEnrique/erw (list_tables)</t>
        </is>
      </c>
      <c r="E271" s="7" t="inlineStr">
        <is>
          <t>2026-09-29</t>
        </is>
      </c>
      <c r="F271" s="7" t="inlineStr"/>
      <c r="G271" s="7" t="inlineStr">
        <is>
          <t>queried, not cited in a cell</t>
        </is>
      </c>
    </row>
    <row r="272">
      <c r="B272" s="6" t="inlineStr">
        <is>
          <t>E3</t>
        </is>
      </c>
      <c r="C272" s="6" t="inlineStr">
        <is>
          <t>ERW describe_table energy_deals</t>
        </is>
      </c>
      <c r="D272" s="6" t="inlineStr">
        <is>
          <t>https://github.com/SamuelEnrique/erw (energy_deals)</t>
        </is>
      </c>
      <c r="E272" s="6" t="inlineStr">
        <is>
          <t>2026-09-29</t>
        </is>
      </c>
      <c r="F272" s="6" t="inlineStr"/>
      <c r="G272" s="6" t="inlineStr">
        <is>
          <t>queried, not cited in a cell</t>
        </is>
      </c>
    </row>
    <row r="273">
      <c r="B273" s="7" t="inlineStr">
        <is>
          <t>E4</t>
        </is>
      </c>
      <c r="C273" s="7" t="inlineStr">
        <is>
          <t>ERW describe_table eia860m_operating_generators</t>
        </is>
      </c>
      <c r="D273" s="7" t="inlineStr">
        <is>
          <t>https://github.com/SamuelEnrique/erw (eia860m_operating_generators)</t>
        </is>
      </c>
      <c r="E273" s="7" t="inlineStr">
        <is>
          <t>2026-09-29</t>
        </is>
      </c>
      <c r="F273" s="7" t="inlineStr"/>
      <c r="G273" s="7" t="inlineStr">
        <is>
          <t>queried, not cited in a cell</t>
        </is>
      </c>
    </row>
    <row r="274">
      <c r="B274" s="6" t="inlineStr">
        <is>
          <t>E5</t>
        </is>
      </c>
      <c r="C274" s="6" t="inlineStr">
        <is>
          <t>ERW describe_table eia_state_generation_monthly</t>
        </is>
      </c>
      <c r="D274" s="6" t="inlineStr">
        <is>
          <t>https://github.com/SamuelEnrique/erw (eia_state_generation_monthly)</t>
        </is>
      </c>
      <c r="E274" s="6" t="inlineStr">
        <is>
          <t>2026-09-29</t>
        </is>
      </c>
      <c r="F274" s="6" t="inlineStr"/>
      <c r="G274" s="6" t="inlineStr">
        <is>
          <t>queried, not cited in a cell</t>
        </is>
      </c>
    </row>
    <row r="275">
      <c r="B275" s="7" t="inlineStr">
        <is>
          <t>E6</t>
        </is>
      </c>
      <c r="C275" s="7" t="inlineStr">
        <is>
          <t>ERW query eia860m_operating_generators</t>
        </is>
      </c>
      <c r="D275" s="7" t="inlineStr">
        <is>
          <t>https://github.com/SamuelEnrique/erw (eia860m_operating_generators)</t>
        </is>
      </c>
      <c r="E275" s="7" t="inlineStr">
        <is>
          <t>2026-09-29</t>
        </is>
      </c>
      <c r="F275" s="7" t="inlineStr"/>
      <c r="G275" s="7" t="inlineStr">
        <is>
          <t>'Fundamentals'!B7:F7; 'Fundamentals'!B8:F8; 'Fundamentals'!B9:F9; 'Fundamentals'!B10:F10; 'Fundamentals'!B12:F12; 'Fundamentals'!B18</t>
        </is>
      </c>
    </row>
    <row r="276">
      <c r="B276" s="6" t="inlineStr">
        <is>
          <t>E7</t>
        </is>
      </c>
      <c r="C276" s="6" t="inlineStr">
        <is>
          <t>ERW query eia860m_planned_generators</t>
        </is>
      </c>
      <c r="D276" s="6" t="inlineStr">
        <is>
          <t>https://github.com/SamuelEnrique/erw (eia860m_planned_generators)</t>
        </is>
      </c>
      <c r="E276" s="6" t="inlineStr">
        <is>
          <t>2026-09-29</t>
        </is>
      </c>
      <c r="F276" s="6" t="inlineStr"/>
      <c r="G276" s="6" t="inlineStr">
        <is>
          <t>'Fundamentals'!B11:F11; 'Fundamentals'!B12:F12; 'Fundamentals'!B18; 'Trends'!B30:D30; 'Trends'!B31:D31; 'Trends'!B32:D32; 'Trends'!B33:D33; 'Trends'!B34:D34; 'Trends'!B35:D35; 'Trends'!B36:D36; 'Trends'!B52; 'Risks'!B17</t>
        </is>
      </c>
    </row>
    <row r="277">
      <c r="B277" s="7" t="inlineStr">
        <is>
          <t>E8</t>
        </is>
      </c>
      <c r="C277" s="7" t="inlineStr">
        <is>
          <t>ERW query eia_state_generation_monthly</t>
        </is>
      </c>
      <c r="D277" s="7" t="inlineStr">
        <is>
          <t>https://github.com/SamuelEnrique/erw (eia_state_generation_monthly)</t>
        </is>
      </c>
      <c r="E277" s="7" t="inlineStr">
        <is>
          <t>2026-09-29</t>
        </is>
      </c>
      <c r="F277" s="7" t="inlineStr"/>
      <c r="G277" s="7" t="inlineStr">
        <is>
          <t>'Fundamentals'!B13:F13; 'Fundamentals'!B18; 'Trends'!B30:D30; 'Trends'!B31:D31; 'Trends'!B32:D32; 'Trends'!B33:D33; 'Trends'!B34:D34; 'Trends'!B35:D35; 'Trends'!B36:D36; 'Trends'!B52; 'Risks'!B17</t>
        </is>
      </c>
    </row>
    <row r="278">
      <c r="B278" s="6" t="inlineStr">
        <is>
          <t>E9</t>
        </is>
      </c>
      <c r="C278" s="6" t="inlineStr">
        <is>
          <t>ERW query energy_deals</t>
        </is>
      </c>
      <c r="D278" s="6" t="inlineStr">
        <is>
          <t>https://github.com/SamuelEnrique/erw (energy_deals)</t>
        </is>
      </c>
      <c r="E278" s="6" t="inlineStr">
        <is>
          <t>2026-09-29</t>
        </is>
      </c>
      <c r="F278" s="6" t="inlineStr"/>
      <c r="G278" s="6" t="inlineStr">
        <is>
          <t>queried, not cited in a cell</t>
        </is>
      </c>
    </row>
    <row r="279">
      <c r="B279" s="7" t="inlineStr">
        <is>
          <t>E10</t>
        </is>
      </c>
      <c r="C279" s="7" t="inlineStr">
        <is>
          <t>ERW query eia_state_generation_monthly</t>
        </is>
      </c>
      <c r="D279" s="7" t="inlineStr">
        <is>
          <t>https://github.com/SamuelEnrique/erw (eia_state_generation_monthly)</t>
        </is>
      </c>
      <c r="E279" s="7" t="inlineStr">
        <is>
          <t>2026-09-29</t>
        </is>
      </c>
      <c r="F279" s="7" t="inlineStr"/>
      <c r="G279" s="7" t="inlineStr">
        <is>
          <t>'Fundamentals'!B14:F14; 'Fundamentals'!B18; 'Trends'!B30:D30; 'Trends'!B31:D31; 'Trends'!B32:D32; 'Trends'!B33:D33; 'Trends'!B34:D34; 'Trends'!B35:D35; 'Trends'!B36:D36; 'Trends'!B52; 'Risks'!B17</t>
        </is>
      </c>
    </row>
    <row r="280">
      <c r="B280" s="6" t="inlineStr">
        <is>
          <t>E11</t>
        </is>
      </c>
      <c r="C280" s="6" t="inlineStr">
        <is>
          <t>ERW query energy_deals</t>
        </is>
      </c>
      <c r="D280" s="6" t="inlineStr">
        <is>
          <t>https://github.com/SamuelEnrique/erw (energy_deals)</t>
        </is>
      </c>
      <c r="E280" s="6" t="inlineStr">
        <is>
          <t>2026-09-29</t>
        </is>
      </c>
      <c r="F280" s="6" t="inlineStr"/>
      <c r="G280" s="6" t="inlineStr">
        <is>
          <t>queried, not cited in a cell</t>
        </is>
      </c>
    </row>
    <row r="281">
      <c r="B281" s="7" t="inlineStr">
        <is>
          <t>E12</t>
        </is>
      </c>
      <c r="C281" s="7" t="inlineStr">
        <is>
          <t>ERW query energy_deals</t>
        </is>
      </c>
      <c r="D281" s="7" t="inlineStr">
        <is>
          <t>https://github.com/SamuelEnrique/erw (energy_deals)</t>
        </is>
      </c>
      <c r="E281" s="7" t="inlineStr">
        <is>
          <t>2026-09-29</t>
        </is>
      </c>
      <c r="F281" s="7" t="inlineStr"/>
      <c r="G281" s="7" t="inlineStr">
        <is>
          <t>queried, not cited in a cell</t>
        </is>
      </c>
    </row>
    <row r="282">
      <c r="B282" s="6" t="inlineStr">
        <is>
          <t>E13</t>
        </is>
      </c>
      <c r="C282" s="6" t="inlineStr">
        <is>
          <t>ERW query energy_deals</t>
        </is>
      </c>
      <c r="D282" s="6" t="inlineStr">
        <is>
          <t>https://github.com/SamuelEnrique/erw (energy_deals)</t>
        </is>
      </c>
      <c r="E282" s="6" t="inlineStr">
        <is>
          <t>2026-09-29</t>
        </is>
      </c>
      <c r="F282" s="6" t="inlineStr"/>
      <c r="G282" s="6" t="inlineStr">
        <is>
          <t>'Scope'!B15:C15; 'Scope'!B16</t>
        </is>
      </c>
    </row>
    <row r="283">
      <c r="B283" s="7" t="inlineStr">
        <is>
          <t>E14</t>
        </is>
      </c>
      <c r="C283" s="7" t="inlineStr">
        <is>
          <t>ERW query energy_deals</t>
        </is>
      </c>
      <c r="D283" s="7" t="inlineStr">
        <is>
          <t>https://github.com/SamuelEnrique/erw (energy_deals)</t>
        </is>
      </c>
      <c r="E283" s="7" t="inlineStr">
        <is>
          <t>2026-09-29</t>
        </is>
      </c>
      <c r="F283" s="7" t="inlineStr"/>
      <c r="G283" s="7" t="inlineStr">
        <is>
          <t>queried, not cited in a cell</t>
        </is>
      </c>
    </row>
    <row r="284">
      <c r="B284" s="6" t="inlineStr">
        <is>
          <t>E15</t>
        </is>
      </c>
      <c r="C284" s="6" t="inlineStr">
        <is>
          <t>ERW query energy_deals</t>
        </is>
      </c>
      <c r="D284" s="6" t="inlineStr">
        <is>
          <t>https://github.com/SamuelEnrique/erw (energy_deals)</t>
        </is>
      </c>
      <c r="E284" s="6" t="inlineStr">
        <is>
          <t>2026-09-29</t>
        </is>
      </c>
      <c r="F284" s="6" t="inlineStr"/>
      <c r="G284" s="6" t="inlineStr">
        <is>
          <t>queried, not cited in a cell</t>
        </is>
      </c>
    </row>
    <row r="285">
      <c r="B285" s="7" t="inlineStr">
        <is>
          <t>E16</t>
        </is>
      </c>
      <c r="C285" s="7" t="inlineStr">
        <is>
          <t>ERW list_tables</t>
        </is>
      </c>
      <c r="D285" s="7" t="inlineStr">
        <is>
          <t>https://github.com/SamuelEnrique/erw (list_tables)</t>
        </is>
      </c>
      <c r="E285" s="7" t="inlineStr">
        <is>
          <t>2026-09-29</t>
        </is>
      </c>
      <c r="F285" s="7" t="inlineStr"/>
      <c r="G285" s="7" t="inlineStr">
        <is>
          <t>queried, not cited in a cell</t>
        </is>
      </c>
    </row>
    <row r="286">
      <c r="B286" s="6" t="inlineStr">
        <is>
          <t>E17</t>
        </is>
      </c>
      <c r="C286" s="6" t="inlineStr">
        <is>
          <t>ERW list_tables</t>
        </is>
      </c>
      <c r="D286" s="6" t="inlineStr">
        <is>
          <t>https://github.com/SamuelEnrique/erw (list_tables)</t>
        </is>
      </c>
      <c r="E286" s="6" t="inlineStr">
        <is>
          <t>2026-09-29</t>
        </is>
      </c>
      <c r="F286" s="6" t="inlineStr"/>
      <c r="G286" s="6" t="inlineStr">
        <is>
          <t>queried, not cited in a cell</t>
        </is>
      </c>
    </row>
    <row r="287">
      <c r="B287" s="7" t="inlineStr">
        <is>
          <t>E18</t>
        </is>
      </c>
      <c r="C287" s="7" t="inlineStr">
        <is>
          <t>ERW describe_table energy_deals</t>
        </is>
      </c>
      <c r="D287" s="7" t="inlineStr">
        <is>
          <t>https://github.com/SamuelEnrique/erw (energy_deals)</t>
        </is>
      </c>
      <c r="E287" s="7" t="inlineStr">
        <is>
          <t>2026-09-29</t>
        </is>
      </c>
      <c r="F287" s="7" t="inlineStr"/>
      <c r="G287" s="7" t="inlineStr">
        <is>
          <t>queried, not cited in a cell</t>
        </is>
      </c>
    </row>
    <row r="288">
      <c r="B288" s="6" t="inlineStr">
        <is>
          <t>E19</t>
        </is>
      </c>
      <c r="C288" s="6" t="inlineStr">
        <is>
          <t>ERW describe_table energy_companies</t>
        </is>
      </c>
      <c r="D288" s="6" t="inlineStr">
        <is>
          <t>https://github.com/SamuelEnrique/erw (energy_companies)</t>
        </is>
      </c>
      <c r="E288" s="6" t="inlineStr">
        <is>
          <t>2026-09-29</t>
        </is>
      </c>
      <c r="F288" s="6" t="inlineStr"/>
      <c r="G288" s="6" t="inlineStr">
        <is>
          <t>'Landscape'!B7:J7; 'Landscape'!B8:J8; 'Landscape'!B9; 'Capital'!B7:H7; 'Capital'!B11; 'Risks'!B22</t>
        </is>
      </c>
    </row>
    <row r="289">
      <c r="B289" s="7" t="inlineStr">
        <is>
          <t>E20</t>
        </is>
      </c>
      <c r="C289" s="7" t="inlineStr">
        <is>
          <t>ERW query energy_companies</t>
        </is>
      </c>
      <c r="D289" s="7" t="inlineStr">
        <is>
          <t>https://github.com/SamuelEnrique/erw (energy_companies)</t>
        </is>
      </c>
      <c r="E289" s="7" t="inlineStr">
        <is>
          <t>2026-09-29</t>
        </is>
      </c>
      <c r="F289" s="7" t="inlineStr"/>
      <c r="G289" s="7" t="inlineStr">
        <is>
          <t>queried, not cited in a cell</t>
        </is>
      </c>
    </row>
    <row r="290">
      <c r="B290" s="6" t="inlineStr">
        <is>
          <t>E21</t>
        </is>
      </c>
      <c r="C290" s="6" t="inlineStr">
        <is>
          <t>ERW query energy_deals</t>
        </is>
      </c>
      <c r="D290" s="6" t="inlineStr">
        <is>
          <t>https://github.com/SamuelEnrique/erw (energy_deals)</t>
        </is>
      </c>
      <c r="E290" s="6" t="inlineStr">
        <is>
          <t>2026-09-29</t>
        </is>
      </c>
      <c r="F290" s="6" t="inlineStr"/>
      <c r="G290" s="6" t="inlineStr">
        <is>
          <t>queried, not cited in a cell</t>
        </is>
      </c>
    </row>
    <row r="291">
      <c r="B291" s="7" t="inlineStr">
        <is>
          <t>E22</t>
        </is>
      </c>
      <c r="C291" s="7" t="inlineStr">
        <is>
          <t>ERW query energy_deals</t>
        </is>
      </c>
      <c r="D291" s="7" t="inlineStr">
        <is>
          <t>https://github.com/SamuelEnrique/erw (energy_deals)</t>
        </is>
      </c>
      <c r="E291" s="7" t="inlineStr">
        <is>
          <t>2026-09-29</t>
        </is>
      </c>
      <c r="F291" s="7" t="inlineStr"/>
      <c r="G291" s="7" t="inlineStr">
        <is>
          <t>'Scope'!B15:C15; 'Scope'!B16</t>
        </is>
      </c>
    </row>
    <row r="292">
      <c r="B292" s="6" t="inlineStr">
        <is>
          <t>E23</t>
        </is>
      </c>
      <c r="C292" s="6" t="inlineStr">
        <is>
          <t>ERW query energy_deals</t>
        </is>
      </c>
      <c r="D292" s="6" t="inlineStr">
        <is>
          <t>https://github.com/SamuelEnrique/erw (energy_deals)</t>
        </is>
      </c>
      <c r="E292" s="6" t="inlineStr">
        <is>
          <t>2026-09-29</t>
        </is>
      </c>
      <c r="F292" s="6" t="inlineStr"/>
      <c r="G292" s="6" t="inlineStr">
        <is>
          <t>queried, not cited in a cell</t>
        </is>
      </c>
    </row>
    <row r="293">
      <c r="B293" s="7" t="inlineStr">
        <is>
          <t>E24</t>
        </is>
      </c>
      <c r="C293" s="7" t="inlineStr">
        <is>
          <t>ERW query energy_companies</t>
        </is>
      </c>
      <c r="D293" s="7" t="inlineStr">
        <is>
          <t>https://github.com/SamuelEnrique/erw (energy_companies)</t>
        </is>
      </c>
      <c r="E293" s="7" t="inlineStr">
        <is>
          <t>2026-09-29</t>
        </is>
      </c>
      <c r="F293" s="7" t="inlineStr"/>
      <c r="G293" s="7" t="inlineStr">
        <is>
          <t>queried, not cited in a cell</t>
        </is>
      </c>
    </row>
    <row r="294">
      <c r="B294" s="6" t="inlineStr">
        <is>
          <t>E25</t>
        </is>
      </c>
      <c r="C294" s="6" t="inlineStr">
        <is>
          <t>ERW query energy_companies</t>
        </is>
      </c>
      <c r="D294" s="6" t="inlineStr">
        <is>
          <t>https://github.com/SamuelEnrique/erw (energy_companies)</t>
        </is>
      </c>
      <c r="E294" s="6" t="inlineStr">
        <is>
          <t>2026-09-29</t>
        </is>
      </c>
      <c r="F294" s="6" t="inlineStr"/>
      <c r="G294" s="6" t="inlineStr">
        <is>
          <t>queried, not cited in a cell</t>
        </is>
      </c>
    </row>
    <row r="295">
      <c r="B295" s="7" t="inlineStr">
        <is>
          <t>E26</t>
        </is>
      </c>
      <c r="C295" s="7" t="inlineStr">
        <is>
          <t>ERW query energy_deals</t>
        </is>
      </c>
      <c r="D295" s="7" t="inlineStr">
        <is>
          <t>https://github.com/SamuelEnrique/erw (energy_deals)</t>
        </is>
      </c>
      <c r="E295" s="7" t="inlineStr">
        <is>
          <t>2026-09-29</t>
        </is>
      </c>
      <c r="F295" s="7" t="inlineStr"/>
      <c r="G295" s="7" t="inlineStr">
        <is>
          <t>'Trends'!B7:F7; 'Trends'!B8:F8; 'Trends'!B9:F9; 'Trends'!B10</t>
        </is>
      </c>
    </row>
  </sheetData>
  <mergeCells count="1">
    <mergeCell ref="B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2026-09-30T00:02:02Z</dcterms:created>
  <dcterms:modified xmlns:dcterms="http://purl.org/dc/terms/" xmlns:xsi="http://www.w3.org/2001/XMLSchema-instance" xsi:type="dcterms:W3CDTF">2026-09-30T00:02:03Z</dcterms:modified>
</cp:coreProperties>
</file>