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 sheetId="1" state="visible" r:id="rId1"/>
    <sheet xmlns:r="http://schemas.openxmlformats.org/officeDocument/2006/relationships" name="Fundamentals" sheetId="2" state="visible" r:id="rId2"/>
    <sheet xmlns:r="http://schemas.openxmlformats.org/officeDocument/2006/relationships" name="Trends" sheetId="3" state="visible" r:id="rId3"/>
    <sheet xmlns:r="http://schemas.openxmlformats.org/officeDocument/2006/relationships" name="Landscape" sheetId="4" state="visible" r:id="rId4"/>
    <sheet xmlns:r="http://schemas.openxmlformats.org/officeDocument/2006/relationships" name="Capital" sheetId="5" state="visible" r:id="rId5"/>
    <sheet xmlns:r="http://schemas.openxmlformats.org/officeDocument/2006/relationships" name="Incumbents" sheetId="6" state="visible" r:id="rId6"/>
    <sheet xmlns:r="http://schemas.openxmlformats.org/officeDocument/2006/relationships" name="Policy" sheetId="7" state="visible" r:id="rId7"/>
    <sheet xmlns:r="http://schemas.openxmlformats.org/officeDocument/2006/relationships" name="Risks" sheetId="8" state="visible" r:id="rId8"/>
    <sheet xmlns:r="http://schemas.openxmlformats.org/officeDocument/2006/relationships" name="Sourc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8C1515"/>
      <sz val="16"/>
    </font>
    <font>
      <name val="Georgia"/>
      <i val="1"/>
      <color rgb="002E2D29"/>
      <sz val="11"/>
    </font>
    <font>
      <name val="Georgia"/>
      <b val="1"/>
      <color rgb="00FFFFFF"/>
      <sz val="11"/>
    </font>
    <font>
      <name val="Calibri"/>
      <b val="1"/>
      <color rgb="00FFFFFF"/>
      <sz val="10"/>
    </font>
    <font>
      <name val="Calibri"/>
      <color rgb="002E2D29"/>
      <sz val="10"/>
    </font>
  </fonts>
  <fills count="4">
    <fill>
      <patternFill/>
    </fill>
    <fill>
      <patternFill patternType="gray125"/>
    </fill>
    <fill>
      <patternFill patternType="solid">
        <fgColor rgb="008C1515"/>
      </patternFill>
    </fill>
    <fill>
      <patternFill patternType="solid">
        <fgColor rgb="00F7F3E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US geothermal capacity: built, planned, and resource potential</a:t>
            </a:r>
          </a:p>
        </rich>
      </tx>
    </title>
    <plotArea>
      <barChart>
        <barDir val="col"/>
        <grouping val="clustered"/>
        <ser>
          <idx val="0"/>
          <order val="0"/>
          <tx>
            <strRef>
              <f>'Trends'!C6</f>
            </strRef>
          </tx>
          <spPr>
            <a:solidFill xmlns:a="http://schemas.openxmlformats.org/drawingml/2006/main">
              <a:srgbClr val="8C1515"/>
            </a:solidFill>
            <a:ln xmlns:a="http://schemas.openxmlformats.org/drawingml/2006/main">
              <a:solidFill>
                <a:srgbClr val="8C1515"/>
              </a:solidFill>
              <a:prstDash val="solid"/>
            </a:ln>
          </spPr>
          <cat>
            <numRef>
              <f>'Trends'!$B$7:$B$10</f>
            </numRef>
          </cat>
          <val>
            <numRef>
              <f>'Trends'!$C$7:$C$10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Operating US geothermal capacity by state</a:t>
            </a:r>
          </a:p>
        </rich>
      </tx>
    </title>
    <plotArea>
      <barChart>
        <barDir val="col"/>
        <grouping val="clustered"/>
        <ser>
          <idx val="0"/>
          <order val="0"/>
          <tx>
            <strRef>
              <f>'Trends'!C30</f>
            </strRef>
          </tx>
          <spPr>
            <a:solidFill xmlns:a="http://schemas.openxmlformats.org/drawingml/2006/main">
              <a:srgbClr val="8C1515"/>
            </a:solidFill>
            <a:ln xmlns:a="http://schemas.openxmlformats.org/drawingml/2006/main">
              <a:solidFill>
                <a:srgbClr val="8C1515"/>
              </a:solidFill>
              <a:prstDash val="solid"/>
            </a:ln>
          </spPr>
          <cat>
            <numRef>
              <f>'Trends'!$B$31:$B$37</f>
            </numRef>
          </cat>
          <val>
            <numRef>
              <f>'Trends'!$C$31:$C$37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s>
</file>

<file path=xl/drawings/drawing1.xml><?xml version="1.0" encoding="utf-8"?>
<wsDr xmlns="http://schemas.openxmlformats.org/drawingml/2006/spreadsheetDrawing">
  <oneCellAnchor>
    <from>
      <col>1</col>
      <colOff>0</colOff>
      <row>10</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37</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52</row>
      <rowOff>0</rowOff>
    </from>
    <ext cx="6858000" cy="4286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95</row>
      <rowOff>0</rowOff>
    </from>
    <ext cx="6858000" cy="4286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24"/>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Scope</t>
        </is>
      </c>
    </row>
    <row r="2">
      <c r="B2" s="2" t="inlineStr">
        <is>
          <t>subsurface heat mapping for geothermal</t>
        </is>
      </c>
    </row>
    <row r="4" ht="20" customHeight="1">
      <c r="B4" s="3" t="inlineStr">
        <is>
          <t>(1) DEFINITION</t>
        </is>
      </c>
    </row>
    <row r="5" ht="75" customHeight="1">
      <c r="B5" s="4" t="inlineStr">
        <is>
          <r>
            <rPr>
              <rFont val="Calibri"/>
              <b val="1"/>
              <color rgb="002E2D29"/>
              <sz val="10"/>
            </rPr>
            <t xml:space="preserve">Fact: </t>
          </r>
          <r>
            <rPr>
              <rFont val="Calibri"/>
              <color rgb="002E2D29"/>
              <sz val="10"/>
            </rPr>
            <t>Subsurface heat mapping is the exploration and resource-characterization layer of the geothermal value chain: turning surface and legacy subsurface data into a probability map of where usable heat sits underground, before anyone drills. Zanskar's platform uses data, machine learning, and geological methods to discover and develop geothermal energy resources, analyzing subsurface information to identify heat sources that can be turned into continuous power. Its toolkit combines machine learning, acoustic imaging, and seismic imaging with sensors repurposed from the oil and gas industry.</t>
          </r>
        </is>
      </c>
    </row>
    <row r="6" ht="15" customHeight="1">
      <c r="B6" s="4" t="inlineStr">
        <is>
          <r>
            <rPr>
              <rFont val="Calibri"/>
              <b val="1"/>
              <i val="1"/>
              <color rgb="00808080"/>
              <sz val="10"/>
            </rPr>
            <t xml:space="preserve">Source(s): </t>
          </r>
          <r>
            <rPr>
              <rFont val="Calibri"/>
              <i val="1"/>
              <color rgb="00808080"/>
              <sz val="10"/>
            </rPr>
            <t>S1 Zanskar - Crunchbase Company Profile &amp; Funding; S8 Zanskar | Lowercarbon Capital</t>
          </r>
        </is>
      </c>
    </row>
    <row r="8" ht="20" customHeight="1">
      <c r="B8" s="3" t="inlineStr">
        <is>
          <t>(2) VALUE CHAIN</t>
        </is>
      </c>
    </row>
    <row r="9">
      <c r="B9" s="5" t="inlineStr">
        <is>
          <t>Stage</t>
        </is>
      </c>
      <c r="C9" s="5" t="inlineStr">
        <is>
          <t>What happens</t>
        </is>
      </c>
    </row>
    <row r="10">
      <c r="B10" s="6" t="inlineStr">
        <is>
          <t>Raw data inputs</t>
        </is>
      </c>
      <c r="C10" s="6" t="inlineStr">
        <is>
          <t>Legacy well logs, temperature-gradient holes, seismic and magnetotelluric surveys, satellite/remote-sensing imagery, and oil-and-gas-industry sensor data repurposed for heat, as Zanskar's own description states.</t>
        </is>
      </c>
    </row>
    <row r="11">
      <c r="B11" s="7" t="inlineStr">
        <is>
          <t>Modeling/characterization layer (the niche itself)</t>
        </is>
      </c>
      <c r="C11" s="7" t="inlineStr">
        <is>
          <t>AI/ML platforms and geophysical service teams turn those inputs into a resource probability map and a drilling target. Zanskar's tools create a probability distribution that allows you to make decisions with more confidence. SLB's phased well-data services drill slim wells to depths of 1,000-2,000 m designed to penetrate the geothermal reservoir and collect data on temperature, pressure, permeability, and fluid composition, at half the cost of full-size wells.</t>
        </is>
      </c>
    </row>
    <row r="12">
      <c r="B12" s="6" t="inlineStr">
        <is>
          <t>Validation drilling</t>
        </is>
      </c>
      <c r="C12" s="6" t="inlineStr">
        <is>
          <t>Temperature-gradient holes and slim/exploratory wells confirm or kill the map's prediction; SLB prices full-size appraisal wells at USD 4-8 million/well while slim wells run smaller.</t>
        </is>
      </c>
    </row>
    <row r="13">
      <c r="B13" s="7" t="inlineStr">
        <is>
          <t>Output</t>
        </is>
      </c>
      <c r="C13" s="7" t="inlineStr">
        <is>
          <t>A de-risked drilling target and resource estimate, sold or handed to a developer; example: Zanskar's Nevada find at 'Big Blind' is headed toward a full-scale, 20-megawatt power plant by 2028.</t>
        </is>
      </c>
    </row>
    <row r="14">
      <c r="B14" s="6" t="inlineStr">
        <is>
          <t>Customer</t>
        </is>
      </c>
      <c r="C14" s="6" t="inlineStr">
        <is>
          <t>Geothermal power developers and plant owners (Fervo Energy, Zanskar's own development arm) and, downstream, utilities and data-center operators buying the power via PPA; example: Google's 396 MW PPA with Fervo for its Cape Station EGS GeoCluster, with an option to expand offtake by approximately 600 MW for nearly 1 GW total by June 2030.</t>
        </is>
      </c>
    </row>
    <row r="15" ht="30" customHeight="1">
      <c r="B15" s="4" t="inlineStr">
        <is>
          <r>
            <rPr>
              <rFont val="Calibri"/>
              <b val="1"/>
              <i val="1"/>
              <color rgb="00808080"/>
              <sz val="10"/>
            </rPr>
            <t xml:space="preserve">Source(s): </t>
          </r>
          <r>
            <rPr>
              <rFont val="Calibri"/>
              <i val="1"/>
              <color rgb="00808080"/>
              <sz val="10"/>
            </rPr>
            <t>S8 Zanskar | Lowercarbon Capital; S2 Old-School Geothermal Is Due for a Comeback, Says AI Startup; S44 Geothermal Exploration Drilling | SLB; S54 Fervo Energy and Google Sign 396 MW PPA - Fervo Energy</t>
          </r>
        </is>
      </c>
    </row>
    <row r="17" ht="20" customHeight="1">
      <c r="B17" s="3" t="inlineStr">
        <is>
          <t>(3) ADJACENT NICHES EXCLUDED</t>
        </is>
      </c>
    </row>
    <row r="18">
      <c r="B18" s="5" t="inlineStr">
        <is>
          <t>Niche</t>
        </is>
      </c>
      <c r="C18" s="5" t="inlineStr">
        <is>
          <t>Why it is out of scope</t>
        </is>
      </c>
    </row>
    <row r="19">
      <c r="B19" s="6" t="inlineStr">
        <is>
          <t>EGS/geothermal power developers and operators (Fervo Energy, Sage Geosystems, XGS Energy)</t>
        </is>
      </c>
      <c r="C19" s="6" t="inlineStr">
        <is>
          <t>These buy or build subsurface characterization but their business is building and running power plants, not mapping as a product or service.</t>
        </is>
      </c>
    </row>
    <row r="20">
      <c r="B20" s="7" t="inlineStr">
        <is>
          <t>Drilling contractors and rig technology (SLB's drilling arm, Quaise Energy's deep-drilling approach)</t>
        </is>
      </c>
      <c r="C20" s="7" t="inlineStr">
        <is>
          <t>These execute on a target the mapping layer identifies; SLB frames its drilling services around de-risking with mapping data rather than being the mapping layer itself.</t>
        </is>
      </c>
    </row>
    <row r="21">
      <c r="B21" s="6" t="inlineStr">
        <is>
          <t>Geothermal heat pumps / direct-use heating for buildings</t>
        </is>
      </c>
      <c r="C21" s="6" t="inlineStr">
        <is>
          <t>A shallow, non-power, non-exploration niche.</t>
        </is>
      </c>
    </row>
    <row r="22">
      <c r="B22" s="7" t="inlineStr">
        <is>
          <t>General oil-and-gas seismic/subsurface imaging services</t>
        </is>
      </c>
      <c r="C22" s="7" t="inlineStr">
        <is>
          <t>Same geophysical toolkit, but not geothermal-specific; only the geothermal-focused reuse of it (as Zanskar does) is in scope.</t>
        </is>
      </c>
    </row>
    <row r="23">
      <c r="B23" s="6" t="inlineStr">
        <is>
          <t>Government resource assessments (USGS, DOE/NREL)</t>
        </is>
      </c>
      <c r="C23" s="6" t="inlineStr">
        <is>
          <t>These are data sources and policy targets for the niche, not investable companies.</t>
        </is>
      </c>
    </row>
    <row r="24" ht="30" customHeight="1">
      <c r="B24" s="4" t="inlineStr">
        <is>
          <r>
            <rPr>
              <rFont val="Calibri"/>
              <b val="1"/>
              <i val="1"/>
              <color rgb="00808080"/>
              <sz val="10"/>
            </rPr>
            <t xml:space="preserve">Built: </t>
          </r>
          <r>
            <rPr>
              <rFont val="Calibri"/>
              <i val="1"/>
              <color rgb="00808080"/>
              <sz val="10"/>
            </rPr>
            <t>2026-09-28 17:04 UTC by warehouse/thesis/build.py, run 20260928T170409Z; 21 model calls (claude-sonnet-5), 23 web searches, USD 2.4141, 0.2 minutes. Numbers not found in a cited source are written as not confirmed.</t>
          </r>
        </is>
      </c>
    </row>
  </sheetData>
  <mergeCells count="7">
    <mergeCell ref="B15:I15"/>
    <mergeCell ref="B6:I6"/>
    <mergeCell ref="B24:I24"/>
    <mergeCell ref="B5:I5"/>
    <mergeCell ref="B8:I8"/>
    <mergeCell ref="B4:I4"/>
    <mergeCell ref="B17:I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9"/>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Fundamentals</t>
        </is>
      </c>
    </row>
    <row r="2">
      <c r="B2" s="2" t="inlineStr">
        <is>
          <t>subsurface heat mapping for geothermal</t>
        </is>
      </c>
    </row>
    <row r="4" ht="20" customHeight="1">
      <c r="B4" s="3" t="inlineStr">
        <is>
          <t>(1) THE FRAMING NUMBERS</t>
        </is>
      </c>
    </row>
    <row r="5" ht="60" customHeight="1">
      <c r="B5" s="4" t="inlineStr">
        <is>
          <r>
            <rPr>
              <rFont val="Calibri"/>
              <b val="1"/>
              <color rgb="002E2D29"/>
              <sz val="10"/>
            </rPr>
            <t xml:space="preserve">Fact: </t>
          </r>
          <r>
            <rPr>
              <rFont val="Calibri"/>
              <color rgb="002E2D29"/>
              <sz val="10"/>
            </rPr>
            <t>Zanskar's platform runs machine learning, acoustic imaging and seismic imaging, plus sensors repurposed from oil and gas, to build a probability map of where usable heat sits underground before anyone drills; its Nevada find at Big Blind, said to confirm a discovery type the industry hadn't made in 30 years, carries a resource potential of more than 100 MWe to the grid.</t>
          </r>
        </is>
      </c>
    </row>
    <row r="6">
      <c r="B6" s="5" t="inlineStr">
        <is>
          <t>Metric</t>
        </is>
      </c>
      <c r="C6" s="5" t="inlineStr">
        <is>
          <t>Value</t>
        </is>
      </c>
      <c r="D6" s="5" t="inlineStr">
        <is>
          <t>Unit</t>
        </is>
      </c>
      <c r="E6" s="5" t="inlineStr">
        <is>
          <t>As of</t>
        </is>
      </c>
      <c r="F6" s="5" t="inlineStr">
        <is>
          <t>Source</t>
        </is>
      </c>
    </row>
    <row r="7">
      <c r="B7" s="6" t="inlineStr">
        <is>
          <t>US operating geothermal nameplate capacity</t>
        </is>
      </c>
      <c r="C7" s="6" t="inlineStr">
        <is>
          <t>4,049.2 (estimate: not an estimate: direct sum from eia860m_operating_generators, technology_group=geothermal)</t>
        </is>
      </c>
      <c r="D7" s="6" t="inlineStr">
        <is>
          <t>MW across 163 generators</t>
        </is>
      </c>
      <c r="E7" s="6" t="inlineStr">
        <is>
          <t>2026-09-26 (EIA-860M vintage, via ERW)</t>
        </is>
      </c>
      <c r="F7" s="6" t="inlineStr">
        <is>
          <t>E4 (ERW)</t>
        </is>
      </c>
    </row>
    <row r="8">
      <c r="B8" s="7" t="inlineStr">
        <is>
          <t>US planned (not yet built) geothermal nameplate capacity</t>
        </is>
      </c>
      <c r="C8" s="7" t="inlineStr">
        <is>
          <t>157.3 (estimate: not an estimate: direct sum from eia860m_planned_generators, technology_group=geothermal)</t>
        </is>
      </c>
      <c r="D8" s="7" t="inlineStr">
        <is>
          <t>MW across 9 generators</t>
        </is>
      </c>
      <c r="E8" s="7" t="inlineStr">
        <is>
          <t>2026-09-26 (EIA-860M vintage, via ERW)</t>
        </is>
      </c>
      <c r="F8" s="7" t="inlineStr">
        <is>
          <t>E8 (ERW)</t>
        </is>
      </c>
    </row>
    <row r="9">
      <c r="B9" s="6" t="inlineStr">
        <is>
          <t>California operating geothermal capacity</t>
        </is>
      </c>
      <c r="C9" s="6" t="inlineStr">
        <is>
          <t>2,935.5 (estimate: not an estimate: direct group-by sum from eia860m_operating_generators)</t>
        </is>
      </c>
      <c r="D9" s="6" t="inlineStr">
        <is>
          <t>MW across 76 units</t>
        </is>
      </c>
      <c r="E9" s="6" t="inlineStr">
        <is>
          <t>2026-09-26 (EIA-860M vintage, via ERW)</t>
        </is>
      </c>
      <c r="F9" s="6" t="inlineStr">
        <is>
          <t>E5 (ERW)</t>
        </is>
      </c>
    </row>
    <row r="10">
      <c r="B10" s="7" t="inlineStr">
        <is>
          <t>Nevada operating geothermal capacity</t>
        </is>
      </c>
      <c r="C10" s="7" t="inlineStr">
        <is>
          <t>913.7 (estimate: not an estimate: direct group-by sum from eia860m_operating_generators)</t>
        </is>
      </c>
      <c r="D10" s="7" t="inlineStr">
        <is>
          <t>MW across 60 units</t>
        </is>
      </c>
      <c r="E10" s="7" t="inlineStr">
        <is>
          <t>2026-09-26 (EIA-860M vintage, via ERW)</t>
        </is>
      </c>
      <c r="F10" s="7" t="inlineStr">
        <is>
          <t>E5 (ERW)</t>
        </is>
      </c>
    </row>
    <row r="11">
      <c r="B11" s="6" t="inlineStr">
        <is>
          <t>ERW energy_deals table, geothermal-tagged rows</t>
        </is>
      </c>
      <c r="C11" s="6" t="inlineStr">
        <is>
          <t>1 (estimate: not an estimate)</t>
        </is>
      </c>
      <c r="D11" s="6" t="inlineStr">
        <is>
          <t>deal (dollar figure not captured: price and dollars fields null)</t>
        </is>
      </c>
      <c r="E11" s="6" t="inlineStr">
        <is>
          <t>dated 2026-05-04, table run 2026-09-27</t>
        </is>
      </c>
      <c r="F11" s="6" t="inlineStr">
        <is>
          <t>E9, E11, E13, E14, E15 (ERW)</t>
        </is>
      </c>
    </row>
    <row r="12">
      <c r="B12" s="7" t="inlineStr">
        <is>
          <t>CAISO interconnection queue, geothermal fuel_technology entries</t>
        </is>
      </c>
      <c r="C12" s="7" t="inlineStr">
        <is>
          <t>not confirmed (estimate: not an estimate)</t>
        </is>
      </c>
      <c r="D12" s="7" t="inlineStr">
        <is>
          <t>projects (closest categories: Steam Turbine 158, Combined Cycle 94, out of 2,278 total)</t>
        </is>
      </c>
      <c r="E12" s="7" t="inlineStr">
        <is>
          <t>queue snapshot 2026-09-26</t>
        </is>
      </c>
      <c r="F12" s="7" t="inlineStr">
        <is>
          <t>E10 (ERW)</t>
        </is>
      </c>
    </row>
    <row r="13">
      <c r="B13" s="6" t="inlineStr">
        <is>
          <t>USGS identified geothermal systems, electric power generation potential</t>
        </is>
      </c>
      <c r="C13" s="6" t="inlineStr">
        <is>
          <t>9,057 (estimate: not an estimate)</t>
        </is>
      </c>
      <c r="D13" s="6" t="inlineStr">
        <is>
          <t>MWe</t>
        </is>
      </c>
      <c r="E13" s="6" t="inlineStr">
        <is>
          <t>USGS assessment (most recent national)</t>
        </is>
      </c>
      <c r="F13" s="6" t="inlineStr">
        <is>
          <t>S30</t>
        </is>
      </c>
    </row>
    <row r="14">
      <c r="B14" s="7" t="inlineStr">
        <is>
          <t>USGS undiscovered geothermal resources, mean estimated power production potential</t>
        </is>
      </c>
      <c r="C14" s="7" t="inlineStr">
        <is>
          <t>30,033 (estimate: not an estimate)</t>
        </is>
      </c>
      <c r="D14" s="7" t="inlineStr">
        <is>
          <t>MWe</t>
        </is>
      </c>
      <c r="E14" s="7" t="inlineStr">
        <is>
          <t>USGS assessment (most recent national)</t>
        </is>
      </c>
      <c r="F14" s="7" t="inlineStr">
        <is>
          <t>S30</t>
        </is>
      </c>
    </row>
    <row r="15">
      <c r="B15" s="6" t="inlineStr">
        <is>
          <t>USGS Great Basin EGS provisional capacity estimate</t>
        </is>
      </c>
      <c r="C15" s="6" t="inlineStr">
        <is>
          <t>not confirmed (estimate: not an estimate)</t>
        </is>
      </c>
      <c r="D15" s="6" t="inlineStr">
        <is>
          <t>GWe</t>
        </is>
      </c>
      <c r="E15" s="6" t="inlineStr">
        <is>
          <t>2025 USGS EGS assessment</t>
        </is>
      </c>
      <c r="F15" s="6" t="inlineStr">
        <is>
          <t>S34</t>
        </is>
      </c>
    </row>
    <row r="16">
      <c r="B16" s="7" t="inlineStr">
        <is>
          <t>DOE Enhanced Geothermal Shot cost target</t>
        </is>
      </c>
      <c r="C16" s="7" t="inlineStr">
        <is>
          <t>45 (estimate: not an estimate)</t>
        </is>
      </c>
      <c r="D16" s="7" t="inlineStr">
        <is>
          <t>USD/MWh by 2035 (a 90% cost reduction goal)</t>
        </is>
      </c>
      <c r="E16" s="7" t="inlineStr">
        <is>
          <t>DOE Enhanced Geothermal Shot goal document</t>
        </is>
      </c>
      <c r="F16" s="7" t="inlineStr">
        <is>
          <t>S11</t>
        </is>
      </c>
    </row>
    <row r="17">
      <c r="B17" s="6" t="inlineStr">
        <is>
          <t>Typical Nevada geothermal well drilling cost</t>
        </is>
      </c>
      <c r="C17" s="6" t="inlineStr">
        <is>
          <t>not confirmed (estimate: not an estimate)</t>
        </is>
      </c>
      <c r="D17" s="6" t="inlineStr">
        <is>
          <t>million USD per well, 20% failure rate</t>
        </is>
      </c>
      <c r="E17" s="6" t="inlineStr">
        <is>
          <t>cited in Wikipedia solar-augmented geothermal page</t>
        </is>
      </c>
      <c r="F17" s="6" t="inlineStr">
        <is>
          <t>S38</t>
        </is>
      </c>
    </row>
    <row r="18">
      <c r="B18" s="7" t="inlineStr">
        <is>
          <t>SLB full-size appraisal well cost</t>
        </is>
      </c>
      <c r="C18" s="7" t="inlineStr">
        <is>
          <t>4-8 (estimate: not an estimate)</t>
        </is>
      </c>
      <c r="D18" s="7" t="inlineStr">
        <is>
          <t>million USD per well</t>
        </is>
      </c>
      <c r="E18" s="7" t="inlineStr">
        <is>
          <t>SLB product page</t>
        </is>
      </c>
      <c r="F18" s="7" t="inlineStr">
        <is>
          <t>S44</t>
        </is>
      </c>
    </row>
    <row r="19">
      <c r="B19" s="6" t="inlineStr">
        <is>
          <t>Zanskar investor-claimed capex reduction from its mapping</t>
        </is>
      </c>
      <c r="C19" s="6" t="inlineStr">
        <is>
          <t>50-66 (estimate: not an estimate)</t>
        </is>
      </c>
      <c r="D19" s="6" t="inlineStr">
        <is>
          <t>percent capex reduction, drilling cost to 2 million USD/well (investor claim, not audited)</t>
        </is>
      </c>
      <c r="E19" s="6" t="inlineStr">
        <is>
          <t>Lowercarbon Capital company page</t>
        </is>
      </c>
      <c r="F19" s="6" t="inlineStr">
        <is>
          <t>S8</t>
        </is>
      </c>
    </row>
    <row r="20">
      <c r="B20" s="7" t="inlineStr">
        <is>
          <t>Zanskar total equity funding to date</t>
        </is>
      </c>
      <c r="C20" s="7" t="inlineStr">
        <is>
          <t>not confirmed (estimate: not an estimate)</t>
        </is>
      </c>
      <c r="D20" s="7" t="inlineStr">
        <is>
          <t>million USD</t>
        </is>
      </c>
      <c r="E20" s="7" t="inlineStr">
        <is>
          <t>2026-01 Series C announcement</t>
        </is>
      </c>
      <c r="F20" s="7" t="inlineStr">
        <is>
          <t>S22</t>
        </is>
      </c>
    </row>
    <row r="21">
      <c r="B21" s="6" t="inlineStr">
        <is>
          <t>Zanskar Series C round</t>
        </is>
      </c>
      <c r="C21" s="6" t="inlineStr">
        <is>
          <t>115 (estimate: not an estimate)</t>
        </is>
      </c>
      <c r="D21" s="6" t="inlineStr">
        <is>
          <t>million USD</t>
        </is>
      </c>
      <c r="E21" s="6" t="inlineStr">
        <is>
          <t>2026-01-21</t>
        </is>
      </c>
      <c r="F21" s="6" t="inlineStr">
        <is>
          <t>S21</t>
        </is>
      </c>
    </row>
    <row r="22">
      <c r="B22" s="7" t="inlineStr">
        <is>
          <t>Zanskar Series B round</t>
        </is>
      </c>
      <c r="C22" s="7" t="inlineStr">
        <is>
          <t>30 (estimate: not an estimate)</t>
        </is>
      </c>
      <c r="D22" s="7" t="inlineStr">
        <is>
          <t>million USD</t>
        </is>
      </c>
      <c r="E22" s="7" t="inlineStr">
        <is>
          <t>2024-05-07</t>
        </is>
      </c>
      <c r="F22" s="7" t="inlineStr">
        <is>
          <t>S67</t>
        </is>
      </c>
    </row>
    <row r="23">
      <c r="B23" s="6" t="inlineStr">
        <is>
          <t>Zanskar seed/Series A implied combined total</t>
        </is>
      </c>
      <c r="C23" s="6" t="inlineStr">
        <is>
          <t>not confirmed (estimate: 180 (total) - 115 (Series C) - 30 (Series B) = 35 (not confirmed: 180, 35))</t>
        </is>
      </c>
      <c r="D23" s="6" t="inlineStr">
        <is>
          <t>million USD</t>
        </is>
      </c>
      <c r="E23" s="6" t="inlineStr">
        <is>
          <t>derived from disclosed rounds</t>
        </is>
      </c>
      <c r="F23" s="6" t="inlineStr">
        <is>
          <t>S22, S21, S67</t>
        </is>
      </c>
    </row>
    <row r="24">
      <c r="B24" s="7" t="inlineStr">
        <is>
          <t>Fervo Energy IPO raise</t>
        </is>
      </c>
      <c r="C24" s="7" t="inlineStr">
        <is>
          <t>1.9 (estimate: not an estimate)</t>
        </is>
      </c>
      <c r="D24" s="7" t="inlineStr">
        <is>
          <t>billion USD</t>
        </is>
      </c>
      <c r="E24" s="7" t="inlineStr">
        <is>
          <t>2026-05-12</t>
        </is>
      </c>
      <c r="F24" s="7" t="inlineStr">
        <is>
          <t>S52</t>
        </is>
      </c>
    </row>
    <row r="25">
      <c r="B25" s="6" t="inlineStr">
        <is>
          <t>Fervo Energy Cape Station non-recourse project financing</t>
        </is>
      </c>
      <c r="C25" s="6" t="inlineStr">
        <is>
          <t>421 (estimate: not an estimate)</t>
        </is>
      </c>
      <c r="D25" s="6" t="inlineStr">
        <is>
          <t>million USD</t>
        </is>
      </c>
      <c r="E25" s="6" t="inlineStr">
        <is>
          <t>March 2026</t>
        </is>
      </c>
      <c r="F25" s="6" t="inlineStr">
        <is>
          <t>S52</t>
        </is>
      </c>
    </row>
    <row r="26">
      <c r="B26" s="7" t="inlineStr">
        <is>
          <t>Fervo Energy Series E round</t>
        </is>
      </c>
      <c r="C26" s="7" t="inlineStr">
        <is>
          <t>462 (estimate: not an estimate)</t>
        </is>
      </c>
      <c r="D26" s="7" t="inlineStr">
        <is>
          <t>million USD</t>
        </is>
      </c>
      <c r="E26" s="7" t="inlineStr">
        <is>
          <t>closed December 2025</t>
        </is>
      </c>
      <c r="F26" s="7" t="inlineStr">
        <is>
          <t>S53</t>
        </is>
      </c>
    </row>
    <row r="27">
      <c r="B27" s="6" t="inlineStr">
        <is>
          <t>Fervo Energy disclosed capital across Series E, project debt, and IPO combined</t>
        </is>
      </c>
      <c r="C27" s="6" t="inlineStr">
        <is>
          <t>not confirmed (estimate: 462M + 421M + 1.9B = 2.783B, rounded to 2.78B (not confirmed: 2.783, 2.78))</t>
        </is>
      </c>
      <c r="D27" s="6" t="inlineStr">
        <is>
          <t>billion USD</t>
        </is>
      </c>
      <c r="E27" s="6" t="inlineStr">
        <is>
          <t>derived, spanning Dec 2025-May 2026</t>
        </is>
      </c>
      <c r="F27" s="6" t="inlineStr">
        <is>
          <t>S53, S52</t>
        </is>
      </c>
    </row>
    <row r="28">
      <c r="B28" s="7" t="inlineStr">
        <is>
          <t>Google-Fervo Cape Station PPA</t>
        </is>
      </c>
      <c r="C28" s="7" t="inlineStr">
        <is>
          <t>396 (estimate: not an estimate)</t>
        </is>
      </c>
      <c r="D28" s="7" t="inlineStr">
        <is>
          <t>MW, with option to expand by approximately 600 MW for nearly 1 GW total by June 2030</t>
        </is>
      </c>
      <c r="E28" s="7" t="inlineStr">
        <is>
          <t>2026-09-01</t>
        </is>
      </c>
      <c r="F28" s="7" t="inlineStr">
        <is>
          <t>S54</t>
        </is>
      </c>
    </row>
    <row r="29" ht="135" customHeight="1">
      <c r="B29" s="4" t="inlineStr">
        <is>
          <r>
            <rPr>
              <rFont val="Calibri"/>
              <b val="1"/>
              <i val="1"/>
              <color rgb="00808080"/>
              <sz val="10"/>
            </rPr>
            <t xml:space="preserve">Source(s): </t>
          </r>
          <r>
            <rPr>
              <rFont val="Calibri"/>
              <i val="1"/>
              <color rgb="00808080"/>
              <sz val="10"/>
            </rPr>
            <t>E4 ERW table eia860m_operating_generators; E8 ERW table eia860m_planned_generators; E5 ERW table eia860m_operating_generators; S30 Assessment of Moderate- and High-Temperature Geothermal Reso; S34 Enhanced Geothermal Systems Electric-Resource Assessment for; S11 Enhanced Geothermal Shot; S38 Solar augmented geothermal energy; S44 Geothermal Exploration Drilling | SLB; S8 Zanskar | Lowercarbon Capital; S22 Zanskar raises $115M Series C following record-setting year ; S21 O’Melveny Advises Zanskar on US$115M Series C Funding - O'Me; S67 O’Melveny Advises Zanskar on US$30 Million Series B Funding ; S52 Fervo Energy Geothermal 2026, 400 MW Cape Station PPA - Enki; S53 Fervo Energy Raises $462 Million Series E to Accelerate Geot; S54 Fervo Energy and Google Sign 396 MW PPA - Fervo Energy; E9 ERW table energy_deals; E11 ERW table energy_deals; E13 ERW table energy_deals; E14 ERW table energy_deals; E15 ERW table energy_deals; E10 ERW table caiso_interconnection_queue; S6 The Search Engine for the Subsurface | Lowercarbon Capital</t>
          </r>
        </is>
      </c>
    </row>
  </sheetData>
  <mergeCells count="3">
    <mergeCell ref="B5:I5"/>
    <mergeCell ref="B4:I4"/>
    <mergeCell ref="B29:I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130"/>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Trends</t>
        </is>
      </c>
    </row>
    <row r="2">
      <c r="B2" s="2" t="inlineStr">
        <is>
          <t>subsurface heat mapping for geothermal</t>
        </is>
      </c>
    </row>
    <row r="4" ht="20" customHeight="1">
      <c r="B4" s="3" t="inlineStr">
        <is>
          <t>(1) OPERATING VS. PLANNED US GEOTHERMAL CAPACITY IS TINY NEXT TO IDENTIFIED RESOURCE POTENTIAL</t>
        </is>
      </c>
    </row>
    <row r="5" ht="45" customHeight="1">
      <c r="B5" s="4" t="inlineStr">
        <is>
          <r>
            <rPr>
              <rFont val="Calibri"/>
              <b val="1"/>
              <color rgb="002E2D29"/>
              <sz val="10"/>
            </rPr>
            <t xml:space="preserve">Fact: </t>
          </r>
          <r>
            <rPr>
              <rFont val="Calibri"/>
              <color rgb="002E2D29"/>
              <sz val="10"/>
            </rPr>
            <t>EIA-860M shows 4,049.2 MW of operating US geothermal nameplate capacity across 163 generators, with only 157.3 MW across 9 generators in the planned pipeline; USGS's national resource assessment puts identified-system generation potential at 9,057 MWe and undiscovered-resource potential at a mean of 30,033 MWe.</t>
          </r>
        </is>
      </c>
    </row>
    <row r="6">
      <c r="B6" s="5" t="inlineStr">
        <is>
          <t>Category</t>
        </is>
      </c>
      <c r="C6" s="5" t="inlineStr">
        <is>
          <t>Capacity (MW/MWe)</t>
        </is>
      </c>
      <c r="D6" s="5" t="inlineStr">
        <is>
          <t>Units/generators</t>
        </is>
      </c>
    </row>
    <row r="7">
      <c r="B7" s="6" t="inlineStr">
        <is>
          <t>Operating (EIA-860M)</t>
        </is>
      </c>
      <c r="C7" s="6" t="n">
        <v>4049.2</v>
      </c>
      <c r="D7" s="6" t="inlineStr">
        <is>
          <t>163 generators</t>
        </is>
      </c>
    </row>
    <row r="8">
      <c r="B8" s="7" t="inlineStr">
        <is>
          <t>Planned (EIA-860M)</t>
        </is>
      </c>
      <c r="C8" s="7" t="n">
        <v>157.3</v>
      </c>
      <c r="D8" s="7" t="inlineStr">
        <is>
          <t>9 generators</t>
        </is>
      </c>
    </row>
    <row r="9">
      <c r="B9" s="6" t="inlineStr">
        <is>
          <t>USGS identified systems potential</t>
        </is>
      </c>
      <c r="C9" s="6" t="n">
        <v>9057</v>
      </c>
      <c r="D9" s="6" t="inlineStr">
        <is>
          <t>not confirmed</t>
        </is>
      </c>
    </row>
    <row r="10">
      <c r="B10" s="7" t="inlineStr">
        <is>
          <t>USGS undiscovered resources (mean)</t>
        </is>
      </c>
      <c r="C10" s="7" t="n">
        <v>30033</v>
      </c>
      <c r="D10" s="7" t="inlineStr">
        <is>
          <t>not disclosed</t>
        </is>
      </c>
    </row>
    <row r="26" ht="30" customHeight="1">
      <c r="B26" s="4" t="inlineStr">
        <is>
          <r>
            <rPr>
              <rFont val="Calibri"/>
              <b val="1"/>
              <i val="1"/>
              <color rgb="00808080"/>
              <sz val="10"/>
            </rPr>
            <t xml:space="preserve">Source(s): </t>
          </r>
          <r>
            <rPr>
              <rFont val="Calibri"/>
              <i val="1"/>
              <color rgb="00808080"/>
              <sz val="10"/>
            </rPr>
            <t>E4 ERW table eia860m_operating_generators; E5 ERW table eia860m_operating_generators; E8 ERW table eia860m_planned_generators; S30 Assessment of Moderate- and High-Temperature Geothermal Reso</t>
          </r>
        </is>
      </c>
    </row>
    <row r="28" ht="20" customHeight="1">
      <c r="B28" s="3" t="inlineStr">
        <is>
          <t>(2) OPERATING US GEOTHERMAL CAPACITY CONCENTRATES IN SEVEN STATES</t>
        </is>
      </c>
    </row>
    <row r="29" ht="30" customHeight="1">
      <c r="B29" s="4" t="inlineStr">
        <is>
          <r>
            <rPr>
              <rFont val="Calibri"/>
              <b val="1"/>
              <color rgb="002E2D29"/>
              <sz val="10"/>
            </rPr>
            <t xml:space="preserve">Fact: </t>
          </r>
          <r>
            <rPr>
              <rFont val="Calibri"/>
              <color rgb="002E2D29"/>
              <sz val="10"/>
            </rPr>
            <t>Per EIA-860M, California holds 2,935.5 MW across 76 units and Nevada holds 913.7 MW across 60 units, with Utah, Hawaii, Oregon, New Mexico, and Idaho each below 80 MW. (not confirmed: 80)</t>
          </r>
        </is>
      </c>
    </row>
    <row r="30">
      <c r="B30" s="5" t="inlineStr">
        <is>
          <t>State</t>
        </is>
      </c>
      <c r="C30" s="5" t="inlineStr">
        <is>
          <t>Nameplate capacity (MW)</t>
        </is>
      </c>
      <c r="D30" s="5" t="inlineStr">
        <is>
          <t>Generators</t>
        </is>
      </c>
    </row>
    <row r="31">
      <c r="B31" s="6" t="inlineStr">
        <is>
          <t>California</t>
        </is>
      </c>
      <c r="C31" s="6" t="n">
        <v>2935.5</v>
      </c>
      <c r="D31" s="6" t="inlineStr">
        <is>
          <t>76</t>
        </is>
      </c>
    </row>
    <row r="32">
      <c r="B32" s="7" t="inlineStr">
        <is>
          <t>Nevada</t>
        </is>
      </c>
      <c r="C32" s="7" t="n">
        <v>913.7</v>
      </c>
      <c r="D32" s="7" t="inlineStr">
        <is>
          <t>60</t>
        </is>
      </c>
    </row>
    <row r="33">
      <c r="B33" s="6" t="inlineStr">
        <is>
          <t>Utah</t>
        </is>
      </c>
      <c r="C33" s="6" t="n">
        <v>77.09999999999999</v>
      </c>
      <c r="D33" s="6" t="inlineStr">
        <is>
          <t>5</t>
        </is>
      </c>
    </row>
    <row r="34">
      <c r="B34" s="7" t="inlineStr">
        <is>
          <t>Hawaii</t>
        </is>
      </c>
      <c r="C34" s="7" t="n">
        <v>51</v>
      </c>
      <c r="D34" s="7" t="inlineStr">
        <is>
          <t>12</t>
        </is>
      </c>
    </row>
    <row r="35">
      <c r="B35" s="6" t="inlineStr">
        <is>
          <t>Oregon</t>
        </is>
      </c>
      <c r="C35" s="6" t="n">
        <v>36.7</v>
      </c>
      <c r="D35" s="6" t="inlineStr">
        <is>
          <t>4</t>
        </is>
      </c>
    </row>
    <row r="36">
      <c r="B36" s="7" t="inlineStr">
        <is>
          <t>New Mexico</t>
        </is>
      </c>
      <c r="C36" s="7" t="n">
        <v>19.2</v>
      </c>
      <c r="D36" s="7" t="inlineStr">
        <is>
          <t>5</t>
        </is>
      </c>
    </row>
    <row r="37">
      <c r="B37" s="6" t="inlineStr">
        <is>
          <t>Idaho</t>
        </is>
      </c>
      <c r="C37" s="6" t="n">
        <v>16</v>
      </c>
      <c r="D37" s="6" t="inlineStr">
        <is>
          <t>1</t>
        </is>
      </c>
    </row>
    <row r="77" ht="60" customHeight="1">
      <c r="B77" s="4" t="inlineStr">
        <is>
          <r>
            <rPr>
              <rFont val="Calibri"/>
              <b val="1"/>
              <i val="1"/>
              <color rgb="00808080"/>
              <sz val="10"/>
            </rPr>
            <t xml:space="preserve">Chart: </t>
          </r>
          <r>
            <rPr>
              <rFont val="Calibri"/>
              <i val="1"/>
              <color rgb="00808080"/>
              <sz val="10"/>
            </rPr>
            <t>ERW Automated Analysis template datacenters_by_state. Source: Bloomberg, Bloomberg.com, Data Center Dynamics, Financial Times, Hart Energy, Heatmap News, Reuters, WSJ, Amazon Web Services, Digital Realty, Equinix, ERCOT, Google, Meta, Microsoft, NYISO, Oracle, Switch, Vantage Data Centers via the Energy Research Warehouse (ERW), table datacenter_facilities; data retrieved to 2026-09-28.</t>
          </r>
        </is>
      </c>
    </row>
    <row r="78" ht="15" customHeight="1">
      <c r="B78" s="4" t="inlineStr">
        <is>
          <r>
            <rPr>
              <rFont val="Calibri"/>
              <b val="1"/>
              <i val="1"/>
              <color rgb="00808080"/>
              <sz val="10"/>
            </rPr>
            <t xml:space="preserve">Source(s): </t>
          </r>
          <r>
            <rPr>
              <rFont val="Calibri"/>
              <i val="1"/>
              <color rgb="00808080"/>
              <sz val="10"/>
            </rPr>
            <t>E5 ERW table eia860m_operating_generators</t>
          </r>
        </is>
      </c>
    </row>
    <row r="80" ht="20" customHeight="1">
      <c r="B80" s="3" t="inlineStr">
        <is>
          <t>(3) CAISO'S INTERCONNECTION QUEUE CARRIES NO GEOTHERMAL CATEGORY</t>
        </is>
      </c>
    </row>
    <row r="81" ht="45" customHeight="1">
      <c r="B81" s="4" t="inlineStr">
        <is>
          <r>
            <rPr>
              <rFont val="Calibri"/>
              <b val="1"/>
              <color rgb="002E2D29"/>
              <sz val="10"/>
            </rPr>
            <t xml:space="preserve">Fact: </t>
          </r>
          <r>
            <rPr>
              <rFont val="Calibri"/>
              <color rgb="002E2D29"/>
              <sz val="10"/>
            </rPr>
            <t>CAISO's interconnection queue table lists 2,278 projects with no 'geothermal' entry among fuel_technology values; the closest categories are Steam Turbine (158 projects) and Combined Cycle (94 projects), so the queue gives no direct geothermal signal.</t>
          </r>
        </is>
      </c>
    </row>
    <row r="82">
      <c r="B82" s="5" t="inlineStr">
        <is>
          <t>Fuel technology</t>
        </is>
      </c>
      <c r="C82" s="5" t="inlineStr">
        <is>
          <t>Projects</t>
        </is>
      </c>
    </row>
    <row r="83">
      <c r="B83" s="6" t="inlineStr">
        <is>
          <t>Steam Turbine</t>
        </is>
      </c>
      <c r="C83" s="6" t="inlineStr">
        <is>
          <t>158</t>
        </is>
      </c>
    </row>
    <row r="84">
      <c r="B84" s="7" t="inlineStr">
        <is>
          <t>Combined Cycle</t>
        </is>
      </c>
      <c r="C84" s="7" t="inlineStr">
        <is>
          <t>94</t>
        </is>
      </c>
    </row>
    <row r="85">
      <c r="B85" s="6" t="inlineStr">
        <is>
          <t>Geothermal</t>
        </is>
      </c>
      <c r="C85" s="6" t="inlineStr">
        <is>
          <t>not disclosed</t>
        </is>
      </c>
    </row>
    <row r="86" ht="15" customHeight="1">
      <c r="B86" s="4" t="inlineStr">
        <is>
          <r>
            <rPr>
              <rFont val="Calibri"/>
              <b val="1"/>
              <i val="1"/>
              <color rgb="00808080"/>
              <sz val="10"/>
            </rPr>
            <t xml:space="preserve">Source(s): </t>
          </r>
          <r>
            <rPr>
              <rFont val="Calibri"/>
              <i val="1"/>
              <color rgb="00808080"/>
              <sz val="10"/>
            </rPr>
            <t>E10 ERW table caiso_interconnection_queue</t>
          </r>
        </is>
      </c>
    </row>
    <row r="88" ht="20" customHeight="1">
      <c r="B88" s="3" t="inlineStr">
        <is>
          <t>(4) ERW'S DEALS TABLE HAS EXACTLY ONE GEOTHERMAL-TAGGED DEAL, WITH NO DOLLAR FIGURE</t>
        </is>
      </c>
    </row>
    <row r="89" ht="30" customHeight="1">
      <c r="B89" s="4" t="inlineStr">
        <is>
          <r>
            <rPr>
              <rFont val="Calibri"/>
              <b val="1"/>
              <color rgb="002E2D29"/>
              <sz val="10"/>
            </rPr>
            <t xml:space="preserve">Fact: </t>
          </r>
          <r>
            <rPr>
              <rFont val="Calibri"/>
              <color rgb="002E2D29"/>
              <sz val="10"/>
            </rPr>
            <t>energy_deals (191 rows, 15 outlets) carries one deal tagged technology geothermal: an equity_raise dated 2026-05-04, seller Fervo Energy, buyer 'investors'; both the dollars and price fields are null in the extraction. (not confirmed: 191)</t>
          </r>
        </is>
      </c>
    </row>
    <row r="90">
      <c r="B90" s="5" t="inlineStr">
        <is>
          <t>Field</t>
        </is>
      </c>
      <c r="C90" s="5" t="inlineStr">
        <is>
          <t>Value</t>
        </is>
      </c>
    </row>
    <row r="91">
      <c r="B91" s="6" t="inlineStr">
        <is>
          <t>Event date</t>
        </is>
      </c>
      <c r="C91" s="6" t="inlineStr">
        <is>
          <t>2026-05-04</t>
        </is>
      </c>
    </row>
    <row r="92">
      <c r="B92" s="7" t="inlineStr">
        <is>
          <t>Deal type</t>
        </is>
      </c>
      <c r="C92" s="7" t="inlineStr">
        <is>
          <t>equity_raise</t>
        </is>
      </c>
    </row>
    <row r="93">
      <c r="B93" s="6" t="inlineStr">
        <is>
          <t>Seller</t>
        </is>
      </c>
      <c r="C93" s="6" t="inlineStr">
        <is>
          <t>Fervo Energy</t>
        </is>
      </c>
    </row>
    <row r="94">
      <c r="B94" s="7" t="inlineStr">
        <is>
          <t>Buyer</t>
        </is>
      </c>
      <c r="C94" s="7" t="inlineStr">
        <is>
          <t>investors</t>
        </is>
      </c>
    </row>
    <row r="95">
      <c r="B95" s="6" t="inlineStr">
        <is>
          <t>Dollars</t>
        </is>
      </c>
      <c r="C95" s="6" t="inlineStr">
        <is>
          <t>not disclosed</t>
        </is>
      </c>
    </row>
    <row r="120" ht="45" customHeight="1">
      <c r="B120" s="4" t="inlineStr">
        <is>
          <r>
            <rPr>
              <rFont val="Calibri"/>
              <b val="1"/>
              <i val="1"/>
              <color rgb="00808080"/>
              <sz val="10"/>
            </rPr>
            <t xml:space="preserve">Chart: </t>
          </r>
          <r>
            <rPr>
              <rFont val="Calibri"/>
              <i val="1"/>
              <color rgb="00808080"/>
              <sz val="10"/>
            </rPr>
            <t>ERW Automated Analysis template deals_by_month. Source: ANS Nuclear Newswire, Bloomberg, Bloomberg.com, Data Center Frontier, Energy-Storage.news, Financial Times, Hart Energy, JPT Homepage, LNG Prime, OilPrice.com, Reuters, Rigzone, WSJ, jpt.spe.org, pv magazine USA via the Energy Research Warehouse (ERW), table energy_deals; data retrieved to 2026-09-27.</t>
          </r>
        </is>
      </c>
    </row>
    <row r="121" ht="30" customHeight="1">
      <c r="B121" s="4" t="inlineStr">
        <is>
          <r>
            <rPr>
              <rFont val="Calibri"/>
              <b val="1"/>
              <i val="1"/>
              <color rgb="00808080"/>
              <sz val="10"/>
            </rPr>
            <t xml:space="preserve">Source(s): </t>
          </r>
          <r>
            <rPr>
              <rFont val="Calibri"/>
              <i val="1"/>
              <color rgb="00808080"/>
              <sz val="10"/>
            </rPr>
            <t>E9 ERW table energy_deals; E11 ERW table energy_deals; E12 ERW table energy_deals; E13 ERW table energy_deals; E14 ERW table energy_deals; E15 ERW table energy_deals</t>
          </r>
        </is>
      </c>
    </row>
    <row r="123" ht="20" customHeight="1">
      <c r="B123" s="3" t="inlineStr">
        <is>
          <t>(5) ZANSKAR'S EQUITY FUNDING, ROUND BY ROUND</t>
        </is>
      </c>
    </row>
    <row r="124" ht="60" customHeight="1">
      <c r="B124" s="4" t="inlineStr">
        <is>
          <r>
            <rPr>
              <rFont val="Calibri"/>
              <b val="1"/>
              <color rgb="002E2D29"/>
              <sz val="10"/>
            </rPr>
            <t xml:space="preserve">Fact: </t>
          </r>
          <r>
            <rPr>
              <rFont val="Calibri"/>
              <color rgb="002E2D29"/>
              <sz val="10"/>
            </rPr>
            <t>Zanskar raised a $30 million Series B (announced 2024-05-06) led by Obvious Ventures, then a $115 million Series C (announced 2026-01-21) led by Spring Lane Capital, plus a separate $40 million Development Capital Facility (closed 2026-04-16) co-led by Just Climate and Spring Lane Capital; a Lowercarbon Capital writeup gives Zanskar's total equity funding to date as $180 million. (not confirmed: 5, 6, 1, 4)</t>
          </r>
        </is>
      </c>
    </row>
    <row r="125">
      <c r="B125" s="5" t="inlineStr">
        <is>
          <t>Round</t>
        </is>
      </c>
      <c r="C125" s="5" t="inlineStr">
        <is>
          <t>Amount (USD million)</t>
        </is>
      </c>
      <c r="D125" s="5" t="inlineStr">
        <is>
          <t>Date</t>
        </is>
      </c>
      <c r="E125" s="5" t="inlineStr">
        <is>
          <t>Lead investor(s)</t>
        </is>
      </c>
    </row>
    <row r="126">
      <c r="B126" s="6" t="inlineStr">
        <is>
          <t>Series B</t>
        </is>
      </c>
      <c r="C126" s="6" t="inlineStr">
        <is>
          <t>30</t>
        </is>
      </c>
      <c r="D126" s="6" t="inlineStr">
        <is>
          <t>not confirmed</t>
        </is>
      </c>
      <c r="E126" s="6" t="inlineStr">
        <is>
          <t>Obvious Ventures</t>
        </is>
      </c>
    </row>
    <row r="127">
      <c r="B127" s="7" t="inlineStr">
        <is>
          <t>Series C</t>
        </is>
      </c>
      <c r="C127" s="7" t="inlineStr">
        <is>
          <t>115</t>
        </is>
      </c>
      <c r="D127" s="7" t="inlineStr">
        <is>
          <t>not confirmed</t>
        </is>
      </c>
      <c r="E127" s="7" t="inlineStr">
        <is>
          <t>Spring Lane Capital</t>
        </is>
      </c>
    </row>
    <row r="128">
      <c r="B128" s="6" t="inlineStr">
        <is>
          <t>Development Capital Facility</t>
        </is>
      </c>
      <c r="C128" s="6" t="inlineStr">
        <is>
          <t>40</t>
        </is>
      </c>
      <c r="D128" s="6" t="inlineStr">
        <is>
          <t>not confirmed</t>
        </is>
      </c>
      <c r="E128" s="6" t="inlineStr">
        <is>
          <t>Just Climate, Spring Lane Capital</t>
        </is>
      </c>
    </row>
    <row r="129">
      <c r="B129" s="7" t="inlineStr">
        <is>
          <t>Total equity to date (investor-stated)</t>
        </is>
      </c>
      <c r="C129" s="7" t="inlineStr">
        <is>
          <t>not confirmed</t>
        </is>
      </c>
      <c r="D129" s="7" t="inlineStr">
        <is>
          <t>not disclosed</t>
        </is>
      </c>
      <c r="E129" s="7" t="inlineStr">
        <is>
          <t>not disclosed</t>
        </is>
      </c>
    </row>
    <row r="130" ht="45" customHeight="1">
      <c r="B130" s="4" t="inlineStr">
        <is>
          <r>
            <rPr>
              <rFont val="Calibri"/>
              <b val="1"/>
              <i val="1"/>
              <color rgb="00808080"/>
              <sz val="10"/>
            </rPr>
            <t xml:space="preserve">Source(s): </t>
          </r>
          <r>
            <rPr>
              <rFont val="Calibri"/>
              <i val="1"/>
              <color rgb="00808080"/>
              <sz val="10"/>
            </rPr>
            <t xml:space="preserve">S67 O’Melveny Advises Zanskar on US$30 Million Series B Funding ; S21 O’Melveny Advises Zanskar on US$115M Series C Funding - O'Me; S22 Zanskar raises $115M Series C following record-setting year ; S73 Zanskar Closes $40M in Novel Development Capital Financing, </t>
          </r>
        </is>
      </c>
    </row>
  </sheetData>
  <mergeCells count="17">
    <mergeCell ref="B88:I88"/>
    <mergeCell ref="B86:I86"/>
    <mergeCell ref="B78:I78"/>
    <mergeCell ref="B29:I29"/>
    <mergeCell ref="B77:I77"/>
    <mergeCell ref="B124:I124"/>
    <mergeCell ref="B130:I130"/>
    <mergeCell ref="B81:I81"/>
    <mergeCell ref="B28:I28"/>
    <mergeCell ref="B89:I89"/>
    <mergeCell ref="B120:I120"/>
    <mergeCell ref="B5:I5"/>
    <mergeCell ref="B80:I80"/>
    <mergeCell ref="B121:I121"/>
    <mergeCell ref="B123:I123"/>
    <mergeCell ref="B4:I4"/>
    <mergeCell ref="B26:I26"/>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1:J14"/>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Landscape</t>
        </is>
      </c>
    </row>
    <row r="2">
      <c r="B2" s="2" t="inlineStr">
        <is>
          <t>subsurface heat mapping for geothermal</t>
        </is>
      </c>
    </row>
    <row r="4" ht="20" customHeight="1">
      <c r="B4" s="3" t="inlineStr">
        <is>
          <t>(1) COMPANIES</t>
        </is>
      </c>
    </row>
    <row r="5" ht="45" customHeight="1">
      <c r="B5" s="4" t="inlineStr">
        <is>
          <r>
            <rPr>
              <rFont val="Calibri"/>
              <b val="1"/>
              <color rgb="002E2D29"/>
              <sz val="10"/>
            </rPr>
            <t xml:space="preserve">Fact: </t>
          </r>
          <r>
            <rPr>
              <rFont val="Calibri"/>
              <color rgb="002E2D29"/>
              <sz val="10"/>
            </rPr>
            <t>US geothermal generators operating today total 4,049.2 MW of nameplate capacity across 163 units, per EIA-860M as held in the warehouse; USGS's national assessment puts the mean estimated power production potential from undiscovered geothermal resources at 30,033 MWe, a resource base far larger than what is built.</t>
          </r>
        </is>
      </c>
    </row>
    <row r="6">
      <c r="B6" s="5" t="inlineStr">
        <is>
          <t>Company</t>
        </is>
      </c>
      <c r="C6" s="5" t="inlineStr">
        <is>
          <t>What it does</t>
        </is>
      </c>
      <c r="D6" s="5" t="inlineStr">
        <is>
          <t>Founders</t>
        </is>
      </c>
      <c r="E6" s="5" t="inlineStr">
        <is>
          <t>Stage</t>
        </is>
      </c>
      <c r="F6" s="5" t="inlineStr">
        <is>
          <t>Raised</t>
        </is>
      </c>
      <c r="G6" s="5" t="inlineStr">
        <is>
          <t>Location</t>
        </is>
      </c>
      <c r="H6" s="5" t="inlineStr">
        <is>
          <t>Signal</t>
        </is>
      </c>
      <c r="I6" s="5" t="inlineStr">
        <is>
          <t>Sources</t>
        </is>
      </c>
      <c r="J6" s="5" t="inlineStr">
        <is>
          <t>Confidence (0 to 100)</t>
        </is>
      </c>
    </row>
    <row r="7">
      <c r="B7" s="6" t="inlineStr">
        <is>
          <t>Zanskar Geothermal &amp; Minerals</t>
        </is>
      </c>
      <c r="C7" s="6" t="inlineStr">
        <is>
          <t>AI-driven geothermal exploration company that analyzes subsurface data with machine learning, acoustic imaging and seismic imaging, using sensors repurposed from oil and gas, to find geothermal heat resources before drilling.</t>
        </is>
      </c>
      <c r="D7" s="6" t="inlineStr">
        <is>
          <t>Co-founded 2021 by CEO Carl Hoiland and CTO Joel [Edwards]</t>
        </is>
      </c>
      <c r="E7" s="6" t="inlineStr">
        <is>
          <t>Series C</t>
        </is>
      </c>
      <c r="F7" s="6" t="inlineStr">
        <is>
          <t>$115 million Series C (announced 2026-01-21), bringing total equity funding to date to $180 million; prior rounds: $30 million Series B (2024-05-06), $12 million Series A, seed from Prime Coalition (2021); also $40 million Development Capital Facility (2026-04-16) (not confirmed: 1, 180, 6, 12)</t>
        </is>
      </c>
      <c r="G7" s="6" t="inlineStr">
        <is>
          <t>Salt Lake City, Utah</t>
        </is>
      </c>
      <c r="H7" s="6" t="inlineStr">
        <is>
          <t>Won multiple contracts with the US Department of Defense's Defense Innovation Unit to explore new geothermal resources</t>
        </is>
      </c>
      <c r="I7" s="6" t="inlineStr">
        <is>
          <t>S1, S5, S8, S21, S22, S25, S26, S67, S69, S73</t>
        </is>
      </c>
      <c r="J7" s="6" t="inlineStr">
        <is>
          <t>100: 3 independent sources, latest 2026; stage confirmed and raised confirmed by a primary source</t>
        </is>
      </c>
    </row>
    <row r="8">
      <c r="B8" s="7" t="inlineStr">
        <is>
          <t>Quaise Energy</t>
        </is>
      </c>
      <c r="C8" s="7" t="inlineStr">
        <is>
          <t>Millimeter-wave deep-drilling technology aimed at accessing superhot geothermal rock beyond the reach of conventional drilling.</t>
        </is>
      </c>
      <c r="D8" s="7" t="inlineStr">
        <is>
          <t>Spun out of the MIT Plasma Science and Fusion Center in 2018; CEO and president Carlos Araque</t>
        </is>
      </c>
      <c r="E8" s="7" t="inlineStr">
        <is>
          <t>Series B</t>
        </is>
      </c>
      <c r="F8" s="7" t="inlineStr">
        <is>
          <t>$180 million Series B final close (2026-08-27), bringing total funding to $280 million, including a $35 million strategic investment from Nabors Industries; first close of Series B was $134 million (2026-07-07); prior Series A1 of $21 million brought total to over $95 million (2024) (not confirmed: 8, 7, 2024)</t>
        </is>
      </c>
      <c r="G8" s="7" t="inlineStr">
        <is>
          <t>Cambridge, Massachusetts</t>
        </is>
      </c>
      <c r="H8" s="7" t="inlineStr">
        <is>
          <t>Nabors Industries' investment positions it as Quaise's largest shareholder with a fully diluted ownership of 14%</t>
        </is>
      </c>
      <c r="I8" s="7" t="inlineStr">
        <is>
          <t>S109, S110, S111, S113, S116</t>
        </is>
      </c>
      <c r="J8" s="7" t="inlineStr">
        <is>
          <t>100: 3 independent sources, latest 2026; stage confirmed and raised confirmed by a primary source</t>
        </is>
      </c>
    </row>
    <row r="9">
      <c r="B9" s="6" t="inlineStr">
        <is>
          <t>Sage Geosystems</t>
        </is>
      </c>
      <c r="C9" s="6" t="inlineStr">
        <is>
          <t>Develops geopressured geothermal systems, aiming to make geothermal energy accessible at depths economically drillable with existing oilfield technologies and equipment.</t>
        </is>
      </c>
      <c r="D9" s="6" t="inlineStr">
        <is>
          <t>Founded 2020 by CEO and co-founder Cindy Taff, President and co-founder Dr. Lev Ring, and CTO and co-founder Lance Cook</t>
        </is>
      </c>
      <c r="E9" s="6" t="inlineStr">
        <is>
          <t>Series B (per Pitchbook, not a primary press release found)</t>
        </is>
      </c>
      <c r="F9" s="6" t="inlineStr">
        <is>
          <t>First close of $17 million Series A led by Chesapeake Energy Corporation (2024); has raised $159.0 million across 3 funding rounds, most recently a $97.0 million Series B in January 2026, per Pitchbook (not confirmed: 2024)</t>
        </is>
      </c>
      <c r="G9" s="6" t="inlineStr">
        <is>
          <t>Houston, Texas</t>
        </is>
      </c>
      <c r="H9" s="6" t="inlineStr">
        <is>
          <t>Ormat's Q4-2025 filing notes advancing enhanced geothermal systems (EGS) through SLB joint venture and Sage investment and cooperation agreement</t>
        </is>
      </c>
      <c r="I9" s="6" t="inlineStr">
        <is>
          <t>S80, S81, S82, S88, S121</t>
        </is>
      </c>
      <c r="J9" s="6" t="inlineStr">
        <is>
          <t>80: 3 independent sources, latest 2026; stage not confirmed and raised not confirmed by a primary source</t>
        </is>
      </c>
    </row>
    <row r="10">
      <c r="B10" s="7" t="inlineStr">
        <is>
          <t>XGS Energy</t>
        </is>
      </c>
      <c r="C10" s="7" t="inlineStr">
        <is>
          <t>Heat-harvesting geothermal technology that drills a single directional well into rock at 250 degrees C or higher and pulls heat into the well through a network of thermally conductive material.</t>
        </is>
      </c>
      <c r="D10" s="7" t="inlineStr">
        <is>
          <t>Led by CEO Josh Prueher, COO Ghazal Izadi and CTO Axel-Pierre Bois</t>
        </is>
      </c>
      <c r="E10" s="7" t="inlineStr">
        <is>
          <t>Series A (extended)</t>
        </is>
      </c>
      <c r="F10" s="7" t="inlineStr">
        <is>
          <t>Has raised $56.7 million across 4 funding rounds: $9.7 million led by Constellation Technology Ventures, $14 million Series A led by Anzu Partners, a $20 million Series A extension led by Valo Ventures and VoLo Earth Ventures (2024-05-21, total Series A of $34.5 million), and $13 million in additional financing (2025-03) (not confirmed: 9.7, 14, 2024, 5)</t>
        </is>
      </c>
      <c r="G10" s="7" t="inlineStr">
        <is>
          <t>Palo Alto, California</t>
        </is>
      </c>
      <c r="H10" s="7" t="inlineStr">
        <is>
          <t>Plans a demonstration project in California at a shut-in geothermal well originally drilled in the 1980s</t>
        </is>
      </c>
      <c r="I10" s="7" t="inlineStr">
        <is>
          <t>S99, S100, S101, S104, S107</t>
        </is>
      </c>
      <c r="J10" s="7" t="inlineStr">
        <is>
          <t>100: 3 independent sources, latest 2025; stage confirmed and raised confirmed by a primary source</t>
        </is>
      </c>
    </row>
    <row r="11">
      <c r="B11" s="6" t="inlineStr">
        <is>
          <t>Bedrock Energy</t>
        </is>
      </c>
      <c r="C11" s="6" t="inlineStr">
        <is>
          <t>Designs geothermal design and installation technology combining autonomous drilling and advanced subsurface modeling, for heating and cooling buildings.</t>
        </is>
      </c>
      <c r="D11" s="6" t="inlineStr">
        <is>
          <t>Co-founded 2022 by CEO Joselyn Lai and CTO Silviu Livescu</t>
        </is>
      </c>
      <c r="E11" s="6" t="inlineStr">
        <is>
          <t>Series A</t>
        </is>
      </c>
      <c r="F11" s="6" t="inlineStr">
        <is>
          <t>$8.5 million seed led by Wireframe Ventures (2023-10-11); $12 million Series A led by Titanium Ventures, with Energy Impact Partners and Sustainable Future Ventures (2025-01) (not confirmed: 10, 2025, 1)</t>
        </is>
      </c>
      <c r="G11" s="6" t="inlineStr">
        <is>
          <t>Austin, Texas</t>
        </is>
      </c>
      <c r="H11" s="6" t="inlineStr">
        <is>
          <t>CEO describes its drilling technology as able to "read the ground while drilling," drilling three to eight times faster than conventional methods</t>
        </is>
      </c>
      <c r="I11" s="6" t="inlineStr">
        <is>
          <t>S89, S90, S91, S92, S93, S95</t>
        </is>
      </c>
      <c r="J11" s="6" t="inlineStr">
        <is>
          <t>100: 3 independent sources, latest 2025; stage confirmed and raised confirmed by a primary source</t>
        </is>
      </c>
    </row>
    <row r="12">
      <c r="B12" s="7" t="inlineStr">
        <is>
          <t>Project InnerSpace</t>
        </is>
      </c>
      <c r="C12" s="7" t="inlineStr">
        <is>
          <t>Nonprofit building the Geothermal Exploration Opportunities Map (GeoMap), which combines the work of more than 100 scientists globally to let stakeholders identify the quality and cost to develop geothermal resources beneath them.</t>
        </is>
      </c>
      <c r="D12" s="7" t="inlineStr">
        <is>
          <t>Led by Jamie Beard, with support of Schmidt Futures, the philanthropic initiative founded by Eric and Wendy Schmidt</t>
        </is>
      </c>
      <c r="E12" s="7" t="inlineStr">
        <is>
          <t>nonprofit (not applicable)</t>
        </is>
      </c>
      <c r="F12" s="7" t="inlineStr">
        <is>
          <t>$16.6 million in research investments to date; an $11.5 million budget with a self-reported $4 million funding gap for the remainder of 2025 (both self-reported by the organization)</t>
        </is>
      </c>
      <c r="G12" s="7" t="inlineStr">
        <is>
          <t>Boston</t>
        </is>
      </c>
      <c r="H12" s="7" t="inlineStr">
        <is>
          <t>SLB has partnered with Google Cloud and Project InnerSpace to complement its GeoMap dataset with SLB GeothermEx geothermal consulting services</t>
        </is>
      </c>
      <c r="I12" s="7" t="inlineStr">
        <is>
          <t>S131, S146, S149, S150, S151, S152</t>
        </is>
      </c>
      <c r="J12" s="7" t="inlineStr">
        <is>
          <t>80: 3 independent sources, latest 2025; stage not confirmed and raised not confirmed by a primary source</t>
        </is>
      </c>
    </row>
    <row r="13">
      <c r="B13" s="6" t="inlineStr">
        <is>
          <t>Mantle Reach Power</t>
        </is>
      </c>
      <c r="C13" s="6" t="inlineStr">
        <is>
          <t>Geothermal developer that entered a commercial agreement with Baker Hughes to accelerate large-scale geothermal energy deployment across North America.</t>
        </is>
      </c>
      <c r="D13" s="6" t="inlineStr">
        <is>
          <t>not disclosed</t>
        </is>
      </c>
      <c r="E13" s="6" t="inlineStr">
        <is>
          <t>not disclosed</t>
        </is>
      </c>
      <c r="F13" s="6" t="inlineStr">
        <is>
          <t>not disclosed; backed by EnCap Energy Transition Fund III (amount not disclosed)</t>
        </is>
      </c>
      <c r="G13" s="6" t="inlineStr">
        <is>
          <t>not disclosed</t>
        </is>
      </c>
      <c r="H13" s="6" t="inlineStr">
        <is>
          <t>Baker Hughes entered a commercial agreement with Mantle Reach Power to accelerate large-scale geothermal energy deployment across North America</t>
        </is>
      </c>
      <c r="I13" s="6" t="inlineStr">
        <is>
          <t>S128</t>
        </is>
      </c>
      <c r="J13" s="6" t="inlineStr">
        <is>
          <t>40: 1 independent source, latest 2026; stage not confirmed and raised not confirmed by a primary source</t>
        </is>
      </c>
    </row>
    <row r="14" ht="300" customHeight="1">
      <c r="B14" s="4" t="inlineStr">
        <is>
          <r>
            <rPr>
              <rFont val="Calibri"/>
              <b val="1"/>
              <i val="1"/>
              <color rgb="00808080"/>
              <sz val="10"/>
            </rPr>
            <t xml:space="preserve">Source(s): </t>
          </r>
          <r>
            <rPr>
              <rFont val="Calibri"/>
              <i val="1"/>
              <color rgb="00808080"/>
              <sz val="10"/>
            </rPr>
            <t>S1 Zanskar - Crunchbase Company Profile &amp; Funding; S5 Zanskar Geothermal; S8 Zanskar | Lowercarbon Capital; S21 O’Melveny Advises Zanskar on US$115M Series C Funding - O'Me; S22 Zanskar raises $115M Series C following record-setting year ; S25 Geothermal Startup Zanskar Raises $115 Million to Find and D; S26 Armed with $115 million, geothermal startup Zanskar gets rea; S67 O’Melveny Advises Zanskar on US$30 Million Series B Funding ; S69 Zanskar Raises $30 Million to Accelerate Discovery of Geothe; S73 Zanskar Closes $40M in Novel Development Capital Financing, ; S109 Quaise Energy Raises $134M To Build Superhot Geothermal Powe; S110 Quaise Energy Raises $134 Million in Initial Close of Series; S111 Quaise raises $180 million in final close of Series B to fun; S113 Nabors Expands Geothermal Growth Platform with $35 Million S; S116 Quaise Energy | Quaise Energy Raises $21 Million to Accelera; S80 Sage Geosystems Raises $17 Million in Series A, Announces Wo; S81 Clean Energy Startup Sage Geosystems Raises $17 Million for ; S82 SAGE Geosystems: Funding, Team &amp; Investors | Startup Intros; S88 Who Owns Sage Geosystems Company? – businessmodelcanvastempl; S121 Ormat Technologies Inc. - Ormat Technologies Reports Fourth ; S99 Geothermal Innovator XGS Energy Completes Oversubscribed $20; S100 XGS Energy Raises $13 Million to Deploy Geothermal Energy Pr; S101 XGS Energy: Funding, Team &amp; Investors | Startup Intros; S104 XGS Energy Secures $19M in Financing and Adds Industry Leade; S107 Exclusive: XGS raises $20M for geothermal tech; S89 Inside Bedrock Energy’s Plan to Deliver Affordable Geotherma; S90 Bedrock Energy Secures $12M to Expand Geothermal in the Moun; S91 Bedrock Energy secures $12m in funding to scale business; S92 Geothermal Startup Bedrock Energy Secures $12M Series A Rais; S93 Geothermal Tech Startup Bedrock Raises $12 Million to Scale ; S95 Bedrock Energy Raises $8.5M to Decarbonize Commercial Real E; S131 SCHLUMBERGER LIMITED/NV - Form 8-K - FY2025; S146 Project InnerSpace: Top Climate Nonprofit Evaluation | Givin; S149 Project InnerSpace Among Top Five Climate Nonprofits for 202; S150 Project InnerSpace Becomes the Largest Nonprofit Funder of G; S151 Project InnerSpace | LinkedIn; S152 Project InnerSpace's GeoMap; S128 Baker Hughes Unlocks Geothermal Opportunity in North America</t>
          </r>
        </is>
      </c>
    </row>
  </sheetData>
  <mergeCells count="3">
    <mergeCell ref="B5:I5"/>
    <mergeCell ref="B14:I14"/>
    <mergeCell ref="B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25"/>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Capital</t>
        </is>
      </c>
    </row>
    <row r="2">
      <c r="B2" s="2" t="inlineStr">
        <is>
          <t>subsurface heat mapping for geothermal</t>
        </is>
      </c>
    </row>
    <row r="4" ht="20" customHeight="1">
      <c r="B4" s="3" t="inlineStr">
        <is>
          <t>(1) ROUNDS, PROJECT FINANCE AND M&amp;A</t>
        </is>
      </c>
    </row>
    <row r="5" ht="30" customHeight="1">
      <c r="B5" s="4" t="inlineStr">
        <is>
          <r>
            <rPr>
              <rFont val="Calibri"/>
              <b val="1"/>
              <color rgb="002E2D29"/>
              <sz val="10"/>
            </rPr>
            <t xml:space="preserve">Fact: </t>
          </r>
          <r>
            <rPr>
              <rFont val="Calibri"/>
              <color rgb="002E2D29"/>
              <sz val="10"/>
            </rPr>
            <t>Zanskar raised a $115 million Series C in January 2026, led by Spring Lane Capital, bringing its total equity funding to $180 million since founding. (not confirmed: 180)</t>
          </r>
        </is>
      </c>
    </row>
    <row r="6">
      <c r="B6" s="5" t="inlineStr">
        <is>
          <t>Date</t>
        </is>
      </c>
      <c r="C6" s="5" t="inlineStr">
        <is>
          <t>Company</t>
        </is>
      </c>
      <c r="D6" s="5" t="inlineStr">
        <is>
          <t>Kind</t>
        </is>
      </c>
      <c r="E6" s="5" t="inlineStr">
        <is>
          <t>Amount</t>
        </is>
      </c>
      <c r="F6" s="5" t="inlineStr">
        <is>
          <t>Currency</t>
        </is>
      </c>
      <c r="G6" s="5" t="inlineStr">
        <is>
          <t>Investors</t>
        </is>
      </c>
      <c r="H6" s="5" t="inlineStr">
        <is>
          <t>Sources</t>
        </is>
      </c>
    </row>
    <row r="7">
      <c r="B7" s="6" t="inlineStr"/>
      <c r="C7" s="6" t="inlineStr">
        <is>
          <t>Sage Geosystems</t>
        </is>
      </c>
      <c r="D7" s="6" t="inlineStr">
        <is>
          <t>Series A (first close)</t>
        </is>
      </c>
      <c r="E7" s="6" t="inlineStr">
        <is>
          <t>17 million</t>
        </is>
      </c>
      <c r="F7" s="6" t="inlineStr">
        <is>
          <t>USD</t>
        </is>
      </c>
      <c r="G7" s="6" t="inlineStr">
        <is>
          <t>Chesapeake Energy Corporation</t>
        </is>
      </c>
      <c r="H7" s="6" t="inlineStr">
        <is>
          <t>S80</t>
        </is>
      </c>
    </row>
    <row r="8">
      <c r="B8" s="7" t="inlineStr"/>
      <c r="C8" s="7" t="inlineStr">
        <is>
          <t>Zanskar</t>
        </is>
      </c>
      <c r="D8" s="7" t="inlineStr">
        <is>
          <t>Series B</t>
        </is>
      </c>
      <c r="E8" s="7" t="inlineStr">
        <is>
          <t>30 million</t>
        </is>
      </c>
      <c r="F8" s="7" t="inlineStr">
        <is>
          <t>USD</t>
        </is>
      </c>
      <c r="G8" s="7" t="inlineStr"/>
      <c r="H8" s="7" t="inlineStr">
        <is>
          <t>S67, S26</t>
        </is>
      </c>
    </row>
    <row r="9">
      <c r="B9" s="6" t="inlineStr"/>
      <c r="C9" s="6" t="inlineStr">
        <is>
          <t>XGS Energy</t>
        </is>
      </c>
      <c r="D9" s="6" t="inlineStr">
        <is>
          <t>Series A (extension)</t>
        </is>
      </c>
      <c r="E9" s="6" t="inlineStr">
        <is>
          <t>20 million</t>
        </is>
      </c>
      <c r="F9" s="6" t="inlineStr">
        <is>
          <t>USD</t>
        </is>
      </c>
      <c r="G9" s="6" t="inlineStr">
        <is>
          <t>Valo Ventures; VoLo Earth Ventures</t>
        </is>
      </c>
      <c r="H9" s="6" t="inlineStr">
        <is>
          <t>S99, S107</t>
        </is>
      </c>
    </row>
    <row r="10">
      <c r="B10" s="7" t="inlineStr"/>
      <c r="C10" s="7" t="inlineStr">
        <is>
          <t>Bedrock Energy</t>
        </is>
      </c>
      <c r="D10" s="7" t="inlineStr">
        <is>
          <t>Seed</t>
        </is>
      </c>
      <c r="E10" s="7" t="inlineStr">
        <is>
          <t>8.5 million</t>
        </is>
      </c>
      <c r="F10" s="7" t="inlineStr">
        <is>
          <t>USD</t>
        </is>
      </c>
      <c r="G10" s="7" t="inlineStr">
        <is>
          <t>Wireframe Ventures</t>
        </is>
      </c>
      <c r="H10" s="7" t="inlineStr">
        <is>
          <t>S95</t>
        </is>
      </c>
    </row>
    <row r="11">
      <c r="B11" s="6" t="inlineStr"/>
      <c r="C11" s="6" t="inlineStr">
        <is>
          <t>Bedrock Energy</t>
        </is>
      </c>
      <c r="D11" s="6" t="inlineStr">
        <is>
          <t>Series A</t>
        </is>
      </c>
      <c r="E11" s="6" t="inlineStr">
        <is>
          <t>not confirmed</t>
        </is>
      </c>
      <c r="F11" s="6" t="inlineStr">
        <is>
          <t>USD</t>
        </is>
      </c>
      <c r="G11" s="6" t="inlineStr">
        <is>
          <t>Titanium Ventures; Energy Impact Partners; Sustainable Future Ventures</t>
        </is>
      </c>
      <c r="H11" s="6" t="inlineStr">
        <is>
          <t>S89</t>
        </is>
      </c>
    </row>
    <row r="12">
      <c r="B12" s="7" t="inlineStr"/>
      <c r="C12" s="7" t="inlineStr">
        <is>
          <t>XGS Energy</t>
        </is>
      </c>
      <c r="D12" s="7" t="inlineStr">
        <is>
          <t>additional financing</t>
        </is>
      </c>
      <c r="E12" s="7" t="inlineStr">
        <is>
          <t>13 million</t>
        </is>
      </c>
      <c r="F12" s="7" t="inlineStr">
        <is>
          <t>USD</t>
        </is>
      </c>
      <c r="G12" s="7" t="inlineStr">
        <is>
          <t>not disclosed</t>
        </is>
      </c>
      <c r="H12" s="7" t="inlineStr">
        <is>
          <t>S100</t>
        </is>
      </c>
    </row>
    <row r="13">
      <c r="B13" s="6" t="inlineStr"/>
      <c r="C13" s="6" t="inlineStr">
        <is>
          <t>Quaise Energy</t>
        </is>
      </c>
      <c r="D13" s="6" t="inlineStr">
        <is>
          <t>Series A1</t>
        </is>
      </c>
      <c r="E13" s="6" t="inlineStr">
        <is>
          <t>21 million</t>
        </is>
      </c>
      <c r="F13" s="6" t="inlineStr">
        <is>
          <t>USD</t>
        </is>
      </c>
      <c r="G13" s="6" t="inlineStr"/>
      <c r="H13" s="6" t="inlineStr">
        <is>
          <t>S116</t>
        </is>
      </c>
    </row>
    <row r="14">
      <c r="B14" s="7" t="inlineStr"/>
      <c r="C14" s="7" t="inlineStr">
        <is>
          <t>Zanskar</t>
        </is>
      </c>
      <c r="D14" s="7" t="inlineStr">
        <is>
          <t>Series C</t>
        </is>
      </c>
      <c r="E14" s="7" t="inlineStr">
        <is>
          <t>115 million</t>
        </is>
      </c>
      <c r="F14" s="7" t="inlineStr">
        <is>
          <t>USD</t>
        </is>
      </c>
      <c r="G14" s="7" t="inlineStr">
        <is>
          <t>Spring Lane Capital; Obvious Ventures; Union Square Ventures; Lowercarbon Capital</t>
        </is>
      </c>
      <c r="H14" s="7" t="inlineStr">
        <is>
          <t>S21, S22, S25</t>
        </is>
      </c>
    </row>
    <row r="15">
      <c r="B15" s="6" t="inlineStr"/>
      <c r="C15" s="6" t="inlineStr">
        <is>
          <t>Zanskar</t>
        </is>
      </c>
      <c r="D15" s="6" t="inlineStr">
        <is>
          <t>Development Capital Facility</t>
        </is>
      </c>
      <c r="E15" s="6" t="inlineStr">
        <is>
          <t>40 million</t>
        </is>
      </c>
      <c r="F15" s="6" t="inlineStr">
        <is>
          <t>USD</t>
        </is>
      </c>
      <c r="G15" s="6" t="inlineStr"/>
      <c r="H15" s="6" t="inlineStr">
        <is>
          <t>S73</t>
        </is>
      </c>
    </row>
    <row r="16">
      <c r="B16" s="7" t="inlineStr">
        <is>
          <t>2026-01</t>
        </is>
      </c>
      <c r="C16" s="7" t="inlineStr">
        <is>
          <t>Sage Geosystems</t>
        </is>
      </c>
      <c r="D16" s="7" t="inlineStr">
        <is>
          <t>Series B</t>
        </is>
      </c>
      <c r="E16" s="7" t="inlineStr">
        <is>
          <t>97.0 million</t>
        </is>
      </c>
      <c r="F16" s="7" t="inlineStr">
        <is>
          <t>USD</t>
        </is>
      </c>
      <c r="G16" s="7" t="inlineStr">
        <is>
          <t>not disclosed</t>
        </is>
      </c>
      <c r="H16" s="7" t="inlineStr">
        <is>
          <t>S82</t>
        </is>
      </c>
    </row>
    <row r="17">
      <c r="B17" s="6" t="inlineStr">
        <is>
          <t>2024-02</t>
        </is>
      </c>
      <c r="C17" s="6" t="inlineStr">
        <is>
          <t>Fervo Energy</t>
        </is>
      </c>
      <c r="D17" s="6" t="inlineStr">
        <is>
          <t>funding round</t>
        </is>
      </c>
      <c r="E17" s="6" t="inlineStr">
        <is>
          <t>244 million</t>
        </is>
      </c>
      <c r="F17" s="6" t="inlineStr">
        <is>
          <t>USD</t>
        </is>
      </c>
      <c r="G17" s="6" t="inlineStr">
        <is>
          <t>not disclosed</t>
        </is>
      </c>
      <c r="H17" s="6" t="inlineStr">
        <is>
          <t>S137</t>
        </is>
      </c>
    </row>
    <row r="18">
      <c r="B18" s="7" t="inlineStr">
        <is>
          <t>2024-12</t>
        </is>
      </c>
      <c r="C18" s="7" t="inlineStr">
        <is>
          <t>Fervo Energy</t>
        </is>
      </c>
      <c r="D18" s="7" t="inlineStr">
        <is>
          <t>financing round</t>
        </is>
      </c>
      <c r="E18" s="7" t="inlineStr">
        <is>
          <t>255 million</t>
        </is>
      </c>
      <c r="F18" s="7" t="inlineStr">
        <is>
          <t>USD</t>
        </is>
      </c>
      <c r="G18" s="7" t="inlineStr">
        <is>
          <t>not disclosed</t>
        </is>
      </c>
      <c r="H18" s="7" t="inlineStr">
        <is>
          <t>S137</t>
        </is>
      </c>
    </row>
    <row r="19">
      <c r="B19" s="6" t="inlineStr"/>
      <c r="C19" s="6" t="inlineStr">
        <is>
          <t>Fervo Energy</t>
        </is>
      </c>
      <c r="D19" s="6" t="inlineStr">
        <is>
          <t>fund raise</t>
        </is>
      </c>
      <c r="E19" s="6" t="inlineStr">
        <is>
          <t>not confirmed</t>
        </is>
      </c>
      <c r="F19" s="6" t="inlineStr">
        <is>
          <t>USD</t>
        </is>
      </c>
      <c r="G19" s="6" t="inlineStr">
        <is>
          <t>not disclosed</t>
        </is>
      </c>
      <c r="H19" s="6" t="inlineStr">
        <is>
          <t>S137</t>
        </is>
      </c>
    </row>
    <row r="20">
      <c r="B20" s="7" t="inlineStr">
        <is>
          <t>2025-12-10</t>
        </is>
      </c>
      <c r="C20" s="7" t="inlineStr">
        <is>
          <t>Fervo Energy</t>
        </is>
      </c>
      <c r="D20" s="7" t="inlineStr">
        <is>
          <t>Series E</t>
        </is>
      </c>
      <c r="E20" s="7" t="inlineStr">
        <is>
          <t>462 million</t>
        </is>
      </c>
      <c r="F20" s="7" t="inlineStr">
        <is>
          <t>USD</t>
        </is>
      </c>
      <c r="G20" s="7" t="inlineStr"/>
      <c r="H20" s="7" t="inlineStr">
        <is>
          <t>S53, S137</t>
        </is>
      </c>
    </row>
    <row r="21">
      <c r="B21" s="6" t="inlineStr">
        <is>
          <t>2026-03</t>
        </is>
      </c>
      <c r="C21" s="6" t="inlineStr">
        <is>
          <t>Fervo Energy</t>
        </is>
      </c>
      <c r="D21" s="6" t="inlineStr">
        <is>
          <t>non-recourse project financing</t>
        </is>
      </c>
      <c r="E21" s="6" t="inlineStr">
        <is>
          <t>421 million</t>
        </is>
      </c>
      <c r="F21" s="6" t="inlineStr">
        <is>
          <t>USD</t>
        </is>
      </c>
      <c r="G21" s="6" t="inlineStr">
        <is>
          <t>not disclosed</t>
        </is>
      </c>
      <c r="H21" s="6" t="inlineStr">
        <is>
          <t>S52, S145</t>
        </is>
      </c>
    </row>
    <row r="22">
      <c r="B22" s="7" t="inlineStr"/>
      <c r="C22" s="7" t="inlineStr">
        <is>
          <t>Fervo Energy</t>
        </is>
      </c>
      <c r="D22" s="7" t="inlineStr">
        <is>
          <t>IPO</t>
        </is>
      </c>
      <c r="E22" s="7" t="inlineStr">
        <is>
          <t>1.89 billion</t>
        </is>
      </c>
      <c r="F22" s="7" t="inlineStr">
        <is>
          <t>USD</t>
        </is>
      </c>
      <c r="G22" s="7" t="inlineStr">
        <is>
          <t>not disclosed</t>
        </is>
      </c>
      <c r="H22" s="7" t="inlineStr">
        <is>
          <t>S137, S52, S57</t>
        </is>
      </c>
    </row>
    <row r="23">
      <c r="B23" s="6" t="inlineStr"/>
      <c r="C23" s="6" t="inlineStr">
        <is>
          <t>Quaise Energy</t>
        </is>
      </c>
      <c r="D23" s="6" t="inlineStr">
        <is>
          <t>Series B (first close)</t>
        </is>
      </c>
      <c r="E23" s="6" t="inlineStr">
        <is>
          <t>134 million</t>
        </is>
      </c>
      <c r="F23" s="6" t="inlineStr">
        <is>
          <t>USD</t>
        </is>
      </c>
      <c r="G23" s="6" t="inlineStr">
        <is>
          <t>Prelude Ventures; Idemitsu</t>
        </is>
      </c>
      <c r="H23" s="6" t="inlineStr">
        <is>
          <t>S109, S110</t>
        </is>
      </c>
    </row>
    <row r="24">
      <c r="B24" s="7" t="inlineStr">
        <is>
          <t>2026-08-27</t>
        </is>
      </c>
      <c r="C24" s="7" t="inlineStr">
        <is>
          <t>Quaise Energy</t>
        </is>
      </c>
      <c r="D24" s="7" t="inlineStr">
        <is>
          <t>Series B (final close)</t>
        </is>
      </c>
      <c r="E24" s="7" t="inlineStr">
        <is>
          <t>180 million</t>
        </is>
      </c>
      <c r="F24" s="7" t="inlineStr">
        <is>
          <t>USD</t>
        </is>
      </c>
      <c r="G24" s="7" t="inlineStr"/>
      <c r="H24" s="7" t="inlineStr">
        <is>
          <t>S111, S113</t>
        </is>
      </c>
    </row>
    <row r="25" ht="195" customHeight="1">
      <c r="B25" s="4" t="inlineStr">
        <is>
          <r>
            <rPr>
              <rFont val="Calibri"/>
              <b val="1"/>
              <i val="1"/>
              <color rgb="00808080"/>
              <sz val="10"/>
            </rPr>
            <t xml:space="preserve">Source(s): </t>
          </r>
          <r>
            <rPr>
              <rFont val="Calibri"/>
              <i val="1"/>
              <color rgb="00808080"/>
              <sz val="10"/>
            </rPr>
            <t>S80 Sage Geosystems Raises $17 Million in Series A, Announces Wo; S67 O’Melveny Advises Zanskar on US$30 Million Series B Funding ; S26 Armed with $115 million, geothermal startup Zanskar gets rea; S99 Geothermal Innovator XGS Energy Completes Oversubscribed $20; S107 Exclusive: XGS raises $20M for geothermal tech; S95 Bedrock Energy Raises $8.5M to Decarbonize Commercial Real E; S89 Inside Bedrock Energy’s Plan to Deliver Affordable Geotherma; S100 XGS Energy Raises $13 Million to Deploy Geothermal Energy Pr; S116 Quaise Energy | Quaise Energy Raises $21 Million to Accelera; S21 O’Melveny Advises Zanskar on US$115M Series C Funding - O'Me; S22 Zanskar raises $115M Series C following record-setting year ; S25 Geothermal Startup Zanskar Raises $115 Million to Find and D; S73 Zanskar Closes $40M in Novel Development Capital Financing, ; S82 SAGE Geosystems: Funding, Team &amp; Investors | Startup Intros; S137 Bill Gates-backed geothermal developer Fervo raises $1.89B i; S53 Fervo Energy Raises $462 Million Series E to Accelerate Geot; S52 Fervo Energy Geothermal 2026, 400 MW Cape Station PPA - Enki; S145 Fervo Energy: From Startup to Geothermal Leader - Energy New; S57 Geothermal Energy Developer Fervo Raises $1.89 Billion in US; S109 Quaise Energy Raises $134M To Build Superhot Geothermal Powe; S110 Quaise Energy Raises $134 Million in Initial Close of Series; S111 Quaise raises $180 million in final close of Series B to fun; S113 Nabors Expands Geothermal Growth Platform with $35 Million S</t>
          </r>
        </is>
      </c>
    </row>
  </sheetData>
  <mergeCells count="3">
    <mergeCell ref="B25:I25"/>
    <mergeCell ref="B5:I5"/>
    <mergeCell ref="B4: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I16"/>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Incumbents</t>
        </is>
      </c>
    </row>
    <row r="2">
      <c r="B2" s="2" t="inlineStr">
        <is>
          <t>subsurface heat mapping for geothermal</t>
        </is>
      </c>
    </row>
    <row r="4" ht="20" customHeight="1">
      <c r="B4" s="3" t="inlineStr">
        <is>
          <t>(1) LARGE PLAYERS AND PUBLIC COMPARABLES</t>
        </is>
      </c>
    </row>
    <row r="5" ht="90" customHeight="1">
      <c r="B5" s="4" t="inlineStr">
        <is>
          <r>
            <rPr>
              <rFont val="Calibri"/>
              <b val="1"/>
              <color rgb="002E2D29"/>
              <sz val="10"/>
            </rPr>
            <t xml:space="preserve">Fact: </t>
          </r>
          <r>
            <rPr>
              <rFont val="Calibri"/>
              <color rgb="002E2D29"/>
              <sz val="10"/>
            </rPr>
            <t>Among incumbents touching subsurface heat mapping for geothermal, Ormat Technologies reports approximately 3,600 MW of gross installed capacity as of its Q4 2025 results; oilfield-services players SLB and Baker Hughes have each entered geothermal partnerships (with Ormat, and with developer Mantle Reach Power, respectively) without disclosing a geothermal-specific revenue figure; land driller Nabors Industries took a 14% fully diluted stake in Quaise Energy via a $35 million investment announced 2026-08-27; and Google has contracted 396 MW from Fervo Energy's Cape Station project as of a 2026-09-01 PPA, with an option to expand to nearly 1 GW by 2030. (not confirmed: 3600, 9)</t>
          </r>
        </is>
      </c>
    </row>
    <row r="6">
      <c r="B6" s="5" t="inlineStr">
        <is>
          <t>Name</t>
        </is>
      </c>
      <c r="C6" s="5" t="inlineStr">
        <is>
          <t>Kind</t>
        </is>
      </c>
      <c r="D6" s="5" t="inlineStr">
        <is>
          <t>Ticker</t>
        </is>
      </c>
      <c r="E6" s="5" t="inlineStr">
        <is>
          <t>Metric that matters</t>
        </is>
      </c>
      <c r="F6" s="5" t="inlineStr">
        <is>
          <t>Value</t>
        </is>
      </c>
      <c r="G6" s="5" t="inlineStr">
        <is>
          <t>As of</t>
        </is>
      </c>
      <c r="H6" s="5" t="inlineStr">
        <is>
          <t>Sources</t>
        </is>
      </c>
    </row>
    <row r="7">
      <c r="B7" s="6" t="inlineStr">
        <is>
          <t>Ormat Technologies</t>
        </is>
      </c>
      <c r="C7" s="6" t="inlineStr">
        <is>
          <t>vertically integrated geothermal incumbent</t>
        </is>
      </c>
      <c r="D7" s="6" t="inlineStr">
        <is>
          <t>ORA</t>
        </is>
      </c>
      <c r="E7" s="6" t="inlineStr">
        <is>
          <t>gross installed capacity, power plants engineered/manufactured/constructed for utilities and developers worldwide</t>
        </is>
      </c>
      <c r="F7" s="6" t="inlineStr">
        <is>
          <t>not confirmed</t>
        </is>
      </c>
      <c r="G7" s="6" t="inlineStr">
        <is>
          <t>2025-12-31</t>
        </is>
      </c>
      <c r="H7" s="6" t="inlineStr">
        <is>
          <t>S121</t>
        </is>
      </c>
    </row>
    <row r="8">
      <c r="B8" s="7" t="inlineStr">
        <is>
          <t>Ormat Technologies</t>
        </is>
      </c>
      <c r="C8" s="7" t="inlineStr">
        <is>
          <t>vertically integrated geothermal incumbent</t>
        </is>
      </c>
      <c r="D8" s="7" t="inlineStr">
        <is>
          <t>ORA</t>
        </is>
      </c>
      <c r="E8" s="7" t="inlineStr">
        <is>
          <t>geothermal and REG capacity factor, 2024</t>
        </is>
      </c>
      <c r="F8" s="7" t="inlineStr">
        <is>
          <t>not confirmed</t>
        </is>
      </c>
      <c r="G8" s="7" t="inlineStr">
        <is>
          <t>2024-12-31</t>
        </is>
      </c>
      <c r="H8" s="7" t="inlineStr">
        <is>
          <t>S119</t>
        </is>
      </c>
    </row>
    <row r="9">
      <c r="B9" s="6" t="inlineStr">
        <is>
          <t>SLB</t>
        </is>
      </c>
      <c r="C9" s="6" t="inlineStr">
        <is>
          <t>oilfield-services incumbent repositioning for geothermal subsurface work</t>
        </is>
      </c>
      <c r="D9" s="6" t="inlineStr">
        <is>
          <t>SLB</t>
        </is>
      </c>
      <c r="E9" s="6" t="inlineStr">
        <is>
          <t>geothermal-specific revenue</t>
        </is>
      </c>
      <c r="F9" s="6" t="inlineStr">
        <is>
          <t>not disclosed</t>
        </is>
      </c>
      <c r="G9" s="6" t="inlineStr">
        <is>
          <t>2025-11-03</t>
        </is>
      </c>
      <c r="H9" s="6" t="inlineStr">
        <is>
          <t>S131</t>
        </is>
      </c>
    </row>
    <row r="10">
      <c r="B10" s="7" t="inlineStr">
        <is>
          <t>Baker Hughes</t>
        </is>
      </c>
      <c r="C10" s="7" t="inlineStr">
        <is>
          <t>oilfield-services incumbent, integrated subsurface solution provider</t>
        </is>
      </c>
      <c r="D10" s="7" t="inlineStr">
        <is>
          <t>BKR</t>
        </is>
      </c>
      <c r="E10" s="7" t="inlineStr">
        <is>
          <t>geothermal-specific revenue</t>
        </is>
      </c>
      <c r="F10" s="7" t="inlineStr">
        <is>
          <t>not disclosed</t>
        </is>
      </c>
      <c r="G10" s="7" t="inlineStr">
        <is>
          <t>2026-06-25</t>
        </is>
      </c>
      <c r="H10" s="7" t="inlineStr">
        <is>
          <t>S128</t>
        </is>
      </c>
    </row>
    <row r="11">
      <c r="B11" s="6" t="inlineStr">
        <is>
          <t>Nabors Industries</t>
        </is>
      </c>
      <c r="C11" s="6" t="inlineStr">
        <is>
          <t>land-drilling incumbent turned strategic investor</t>
        </is>
      </c>
      <c r="D11" s="6" t="inlineStr">
        <is>
          <t>NBR</t>
        </is>
      </c>
      <c r="E11" s="6" t="inlineStr">
        <is>
          <t>fully diluted ownership stake in Quaise Energy</t>
        </is>
      </c>
      <c r="F11" s="6" t="inlineStr">
        <is>
          <t>14%</t>
        </is>
      </c>
      <c r="G11" s="6" t="inlineStr">
        <is>
          <t>2026-08-27</t>
        </is>
      </c>
      <c r="H11" s="6" t="inlineStr">
        <is>
          <t>S113</t>
        </is>
      </c>
    </row>
    <row r="12">
      <c r="B12" s="7" t="inlineStr">
        <is>
          <t>Nabors Industries</t>
        </is>
      </c>
      <c r="C12" s="7" t="inlineStr">
        <is>
          <t>land-drilling incumbent turned strategic investor</t>
        </is>
      </c>
      <c r="D12" s="7" t="inlineStr">
        <is>
          <t>NBR</t>
        </is>
      </c>
      <c r="E12" s="7" t="inlineStr">
        <is>
          <t>strategic investment amount in Quaise Energy Series B</t>
        </is>
      </c>
      <c r="F12" s="7" t="inlineStr">
        <is>
          <t>$35 million</t>
        </is>
      </c>
      <c r="G12" s="7" t="inlineStr">
        <is>
          <t>2026-08-27</t>
        </is>
      </c>
      <c r="H12" s="7" t="inlineStr">
        <is>
          <t>S111, S113</t>
        </is>
      </c>
    </row>
    <row r="13">
      <c r="B13" s="6" t="inlineStr">
        <is>
          <t>Google</t>
        </is>
      </c>
      <c r="C13" s="6" t="inlineStr">
        <is>
          <t>hyperscaler offtaker of mapping-derived geothermal power</t>
        </is>
      </c>
      <c r="D13" s="6" t="inlineStr">
        <is>
          <t>GOOGL</t>
        </is>
      </c>
      <c r="E13" s="6" t="inlineStr">
        <is>
          <t>power purchase agreement capacity with Fervo Energy's Cape Station</t>
        </is>
      </c>
      <c r="F13" s="6" t="inlineStr">
        <is>
          <t>396 megawatts (MW)</t>
        </is>
      </c>
      <c r="G13" s="6" t="inlineStr">
        <is>
          <t>2026-09-01</t>
        </is>
      </c>
      <c r="H13" s="6" t="inlineStr">
        <is>
          <t>S54, S61</t>
        </is>
      </c>
    </row>
    <row r="14">
      <c r="B14" s="7" t="inlineStr">
        <is>
          <t>Google</t>
        </is>
      </c>
      <c r="C14" s="7" t="inlineStr">
        <is>
          <t>hyperscaler offtaker of mapping-derived geothermal power</t>
        </is>
      </c>
      <c r="D14" s="7" t="inlineStr">
        <is>
          <t>GOOGL</t>
        </is>
      </c>
      <c r="E14" s="7" t="inlineStr">
        <is>
          <t>option to expand Fervo offtake, total by 2030</t>
        </is>
      </c>
      <c r="F14" s="7" t="inlineStr">
        <is>
          <t>nearly 1 GW (396 MW plus an option for approximately 600 MW more)</t>
        </is>
      </c>
      <c r="G14" s="7" t="inlineStr">
        <is>
          <t>2026-09-01</t>
        </is>
      </c>
      <c r="H14" s="7" t="inlineStr">
        <is>
          <t>S54, S62</t>
        </is>
      </c>
    </row>
    <row r="15">
      <c r="B15" s="6" t="inlineStr">
        <is>
          <t>Fervo Energy</t>
        </is>
      </c>
      <c r="C15" s="6" t="inlineStr">
        <is>
          <t>public company (from Landscape)</t>
        </is>
      </c>
      <c r="D15" s="6" t="inlineStr">
        <is>
          <t>NASDAQ: FRVO</t>
        </is>
      </c>
      <c r="E15" s="6" t="inlineStr">
        <is>
          <t>not stated</t>
        </is>
      </c>
      <c r="F15" s="6" t="inlineStr">
        <is>
          <t>not disclosed</t>
        </is>
      </c>
      <c r="G15" s="6" t="inlineStr"/>
      <c r="H15" s="6" t="inlineStr">
        <is>
          <t>S140, S137, S52, S53, S145, S54, S61, S62</t>
        </is>
      </c>
    </row>
    <row r="16" ht="105" customHeight="1">
      <c r="B16" s="4" t="inlineStr">
        <is>
          <r>
            <rPr>
              <rFont val="Calibri"/>
              <b val="1"/>
              <i val="1"/>
              <color rgb="00808080"/>
              <sz val="10"/>
            </rPr>
            <t xml:space="preserve">Source(s): </t>
          </r>
          <r>
            <rPr>
              <rFont val="Calibri"/>
              <i val="1"/>
              <color rgb="00808080"/>
              <sz val="10"/>
            </rPr>
            <t>S121 Ormat Technologies Inc. - Ormat Technologies Reports Fourth ; S119 ANNUAL REPORT 2024; S131 SCHLUMBERGER LIMITED/NV - Form 8-K - FY2025; S128 Baker Hughes Unlocks Geothermal Opportunity in North America; S113 Nabors Expands Geothermal Growth Platform with $35 Million S; S111 Quaise raises $180 million in final close of Series B to fun; S54 Fervo Energy and Google Sign 396 MW PPA - Fervo Energy; S61 Enhanced geothermal notches another win as Google buys 400 M; S62 Fervo Shares Surge on Geothermal Power Deal With Google; S140 Fervo Energy; S137 Bill Gates-backed geothermal developer Fervo raises $1.89B i; S52 Fervo Energy Geothermal 2026, 400 MW Cape Station PPA - Enki; S53 Fervo Energy Raises $462 Million Series E to Accelerate Geot; S145 Fervo Energy: From Startup to Geothermal Leader - Energy New</t>
          </r>
        </is>
      </c>
    </row>
  </sheetData>
  <mergeCells count="3">
    <mergeCell ref="B5:I5"/>
    <mergeCell ref="B16:I16"/>
    <mergeCell ref="B4: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I9"/>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Policy</t>
        </is>
      </c>
    </row>
    <row r="2">
      <c r="B2" s="2" t="inlineStr">
        <is>
          <t>subsurface heat mapping for geothermal</t>
        </is>
      </c>
    </row>
    <row r="4" ht="20" customHeight="1">
      <c r="B4" s="3" t="inlineStr">
        <is>
          <t>(1) POLICY ACTIONS (ERW TABLES POLICY_ACTIONS AND POLICY_READS)</t>
        </is>
      </c>
    </row>
    <row r="5" ht="45" customHeight="1">
      <c r="B5" s="4" t="inlineStr">
        <is>
          <r>
            <rPr>
              <rFont val="Calibri"/>
              <b val="1"/>
              <color rgb="002E2D29"/>
              <sz val="10"/>
            </rPr>
            <t xml:space="preserve">Fact: </t>
          </r>
          <r>
            <rPr>
              <rFont val="Calibri"/>
              <color rgb="002E2D29"/>
              <sz val="10"/>
            </rPr>
            <t>DOE announced $99 million for 21 projects to advance U.S. geothermal energy development (doe:0bc976d9b4ef, 2026-09-21), a public-funding move that lands directly on the exploration/characterization layer this niche's private mapping vendors compete in and partner with.</t>
          </r>
        </is>
      </c>
    </row>
    <row r="6">
      <c r="B6" s="5" t="inlineStr">
        <is>
          <t>Date</t>
        </is>
      </c>
      <c r="C6" s="5" t="inlineStr">
        <is>
          <t>Agency</t>
        </is>
      </c>
      <c r="D6" s="5" t="inlineStr">
        <is>
          <t>Type</t>
        </is>
      </c>
      <c r="E6" s="5" t="inlineStr">
        <is>
          <t>Title</t>
        </is>
      </c>
      <c r="F6" s="5" t="inlineStr">
        <is>
          <t>Read (policy_reads) or why it matters</t>
        </is>
      </c>
      <c r="G6" s="5" t="inlineStr">
        <is>
          <t>Link</t>
        </is>
      </c>
    </row>
    <row r="7">
      <c r="B7" s="6" t="inlineStr">
        <is>
          <t>2026-09-21</t>
        </is>
      </c>
      <c r="C7" s="6" t="inlineStr">
        <is>
          <t>DOE</t>
        </is>
      </c>
      <c r="D7" s="6" t="inlineStr">
        <is>
          <t>press release</t>
        </is>
      </c>
      <c r="E7" s="6" t="inlineStr">
        <is>
          <t>Energy Department Announces $99 Million for 21 Projects to Advance U.S. Geothermal Energy Development</t>
        </is>
      </c>
      <c r="F7" s="6" t="inlineStr">
        <is>
          <t>The Department of Energy is giving over $99 million to 21 projects that will test new geothermal energy technologies and drill to find promising underground heat resources. The funding is not final yet, since DOE still has to negotiate with each project and could cancel the deal.</t>
        </is>
      </c>
      <c r="G7" s="6" t="inlineStr">
        <is>
          <t>https://www.energy.gov/articles/energy-department-announces-99-million-21-projects-advance-us-geothermal-energy</t>
        </is>
      </c>
    </row>
    <row r="8">
      <c r="B8" s="7" t="inlineStr">
        <is>
          <t>2026-04-28</t>
        </is>
      </c>
      <c r="C8" s="7" t="inlineStr">
        <is>
          <t>Interior</t>
        </is>
      </c>
      <c r="D8" s="7" t="inlineStr">
        <is>
          <t>notice</t>
        </is>
      </c>
      <c r="E8" s="7" t="inlineStr">
        <is>
          <t>National Environmental Policy Act Implementing Procedures for the Bureau of Land Management</t>
        </is>
      </c>
      <c r="F8" s="7" t="inlineStr">
        <is>
          <t>BLM manages the federal land under most U.S. geothermal resource areas, and the research notes flag NEPA review timelines of 6 to 8 years, with reviews triggered up to 6 times, as the single largest cited regulatory delay for geothermal projects; a change to BLM's NEPA implementing procedures bears on whether that timeline, and the sLCOE penalty DOE attaches to it, moves in either direction.</t>
        </is>
      </c>
      <c r="G8" s="7" t="inlineStr">
        <is>
          <t>https://www.federalregister.gov/documents/2026/04/28/2026-08235/national-environmental-policy-act-implementing-procedures-for-the-bureau-of-land-management</t>
        </is>
      </c>
    </row>
    <row r="9" ht="30" customHeight="1">
      <c r="B9" s="4" t="inlineStr">
        <is>
          <r>
            <rPr>
              <rFont val="Calibri"/>
              <b val="1"/>
              <i val="1"/>
              <color rgb="00808080"/>
              <sz val="10"/>
            </rPr>
            <t xml:space="preserve">Source(s): </t>
          </r>
          <r>
            <rPr>
              <rFont val="Calibri"/>
              <i val="1"/>
              <color rgb="00808080"/>
              <sz val="10"/>
            </rPr>
            <t>ERW tables policy_actions (Federal Register and agency news) and policy_reads (impact reads, fields kept only when their words are in the action's own text).</t>
          </r>
        </is>
      </c>
    </row>
  </sheetData>
  <mergeCells count="3">
    <mergeCell ref="B9:I9"/>
    <mergeCell ref="B5:I5"/>
    <mergeCell ref="B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I52"/>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Risks</t>
        </is>
      </c>
    </row>
    <row r="2">
      <c r="B2" s="2" t="inlineStr">
        <is>
          <t>subsurface heat mapping for geothermal</t>
        </is>
      </c>
    </row>
    <row r="4" ht="20" customHeight="1">
      <c r="B4" s="3" t="inlineStr">
        <is>
          <t>(1) SUBSURFACE TARGETING REMAINS A DIAGNOSTIC PROBLEM, NOT A SOLVED ONE, EVEN WITH AI/ML OVERLAYS</t>
        </is>
      </c>
    </row>
    <row r="5" ht="45" customHeight="1">
      <c r="B5" s="4" t="inlineStr">
        <is>
          <r>
            <rPr>
              <rFont val="Calibri"/>
              <b val="1"/>
              <color rgb="002E2D29"/>
              <sz val="10"/>
            </rPr>
            <t xml:space="preserve">Fact: </t>
          </r>
          <r>
            <rPr>
              <rFont val="Calibri"/>
              <color rgb="002E2D29"/>
              <sz val="10"/>
            </rPr>
            <t>The mapping layer's whole value proposition is that data plus modeling substitutes for costly invasive drilling; if resolution genuinely stays poor at reservoir depth, mapping vendors cannot reliably cut the well-failure rate they claim to cut, and their output remains a probability, not a confirmed target.</t>
          </r>
        </is>
      </c>
    </row>
    <row r="6" ht="45" customHeight="1">
      <c r="B6" s="4" t="inlineStr">
        <is>
          <r>
            <rPr>
              <rFont val="Calibri"/>
              <b val="1"/>
              <color rgb="002E2D29"/>
              <sz val="10"/>
            </rPr>
            <t xml:space="preserve">Not known: </t>
          </r>
          <r>
            <rPr>
              <rFont val="Calibri"/>
              <color rgb="002E2D29"/>
              <sz val="10"/>
            </rPr>
            <t>Whether AI/ML-based subsurface targeting actually raises drilling success rates at a portfolio level, versus improving a handful of high-profile discoveries, is not established in independent, audited data; a matched, third-party track record across many sites was not found.</t>
          </r>
        </is>
      </c>
    </row>
    <row r="7" ht="15" customHeight="1">
      <c r="B7" s="4" t="inlineStr">
        <is>
          <r>
            <rPr>
              <rFont val="Calibri"/>
              <b val="1"/>
              <i val="1"/>
              <color rgb="00808080"/>
              <sz val="10"/>
            </rPr>
            <t xml:space="preserve">Source(s): </t>
          </r>
          <r>
            <rPr>
              <rFont val="Calibri"/>
              <i val="1"/>
              <color rgb="00808080"/>
              <sz val="10"/>
            </rPr>
            <t>none</t>
          </r>
        </is>
      </c>
    </row>
    <row r="9" ht="20" customHeight="1">
      <c r="B9" s="3" t="inlineStr">
        <is>
          <t>(2) VENDOR-REPORTED CAPEX AND FAILURE-RATE REDUCTIONS ARE SELF-REPORTED, NOT AUDITED</t>
        </is>
      </c>
    </row>
    <row r="10" ht="45" customHeight="1">
      <c r="B10" s="4" t="inlineStr">
        <is>
          <r>
            <rPr>
              <rFont val="Calibri"/>
              <b val="1"/>
              <color rgb="002E2D29"/>
              <sz val="10"/>
            </rPr>
            <t xml:space="preserve">Fact: </t>
          </r>
          <r>
            <rPr>
              <rFont val="Calibri"/>
              <color rgb="002E2D29"/>
              <sz val="10"/>
            </rPr>
            <t>The economic case for buying mapping services rests on claims like 5x better identification and 50-66% capex reduction; if these numbers do not hold up under independent audit or across a larger sample of wells, the entire value-capture argument for the mapping layer as a business (versus a marketing narrative) weakens.</t>
          </r>
        </is>
      </c>
    </row>
    <row r="11" ht="30" customHeight="1">
      <c r="B11" s="4" t="inlineStr">
        <is>
          <r>
            <rPr>
              <rFont val="Calibri"/>
              <b val="1"/>
              <color rgb="002E2D29"/>
              <sz val="10"/>
            </rPr>
            <t xml:space="preserve">Not known: </t>
          </r>
          <r>
            <rPr>
              <rFont val="Calibri"/>
              <color rgb="002E2D29"/>
              <sz val="10"/>
            </rPr>
            <t>No independently audited figure for Zanskar's or any other vendor's success-rate improvement was found; the claim comes from the company's own investor.</t>
          </r>
        </is>
      </c>
    </row>
    <row r="12" ht="15" customHeight="1">
      <c r="B12" s="4" t="inlineStr">
        <is>
          <r>
            <rPr>
              <rFont val="Calibri"/>
              <b val="1"/>
              <i val="1"/>
              <color rgb="00808080"/>
              <sz val="10"/>
            </rPr>
            <t xml:space="preserve">Source(s): </t>
          </r>
          <r>
            <rPr>
              <rFont val="Calibri"/>
              <i val="1"/>
              <color rgb="00808080"/>
              <sz val="10"/>
            </rPr>
            <t>S8 Zanskar | Lowercarbon Capital</t>
          </r>
        </is>
      </c>
    </row>
    <row r="14" ht="20" customHeight="1">
      <c r="B14" s="3" t="inlineStr">
        <is>
          <t>(3) FEDERAL LAND PERMITTING TIMELINES OF 5-8 YEARS SIT DOWNSTREAM OF ANY MAPPING SUCCESS AND ARE OUTSIDE THE MAPPING VENDOR'S CONTROL</t>
        </is>
      </c>
    </row>
    <row r="15" ht="15" customHeight="1">
      <c r="B15" s="4" t="inlineStr">
        <is>
          <r>
            <rPr>
              <rFont val="Calibri"/>
              <b val="1"/>
              <color rgb="002E2D29"/>
              <sz val="10"/>
            </rPr>
            <t xml:space="preserve">Fact: </t>
          </r>
          <r>
            <rPr>
              <rFont val="Calibri"/>
              <color rgb="002E2D29"/>
              <sz val="10"/>
            </rPr>
            <t>not confirmed</t>
          </r>
        </is>
      </c>
    </row>
    <row r="16" ht="30" customHeight="1">
      <c r="B16" s="4" t="inlineStr">
        <is>
          <r>
            <rPr>
              <rFont val="Calibri"/>
              <b val="1"/>
              <color rgb="002E2D29"/>
              <sz val="10"/>
            </rPr>
            <t xml:space="preserve">Not known: </t>
          </r>
          <r>
            <rPr>
              <rFont val="Calibri"/>
              <color rgb="002E2D29"/>
              <sz val="10"/>
            </rPr>
            <t>Whether federal permitting reform proposals reduce these multi-year timelines is not established in the sources reviewed; only that current timelines and their cost impact are documented.</t>
          </r>
        </is>
      </c>
    </row>
    <row r="17" ht="15" customHeight="1">
      <c r="B17" s="4" t="inlineStr">
        <is>
          <r>
            <rPr>
              <rFont val="Calibri"/>
              <b val="1"/>
              <i val="1"/>
              <color rgb="00808080"/>
              <sz val="10"/>
            </rPr>
            <t xml:space="preserve">Source(s): </t>
          </r>
          <r>
            <rPr>
              <rFont val="Calibri"/>
              <i val="1"/>
              <color rgb="00808080"/>
              <sz val="10"/>
            </rPr>
            <t>none</t>
          </r>
        </is>
      </c>
    </row>
    <row r="19" ht="20" customHeight="1">
      <c r="B19" s="3" t="inlineStr">
        <is>
          <t>(4) DRILLING CAPITAL REMAINS THE BOTTLENECK THE MAPPING THESIS IS SUPPOSED TO SOLVE, AND LENDING INSTITUTIONS WILL NOT FINANCE THE FIRST WELL</t>
        </is>
      </c>
    </row>
    <row r="20" ht="45" customHeight="1">
      <c r="B20" s="4" t="inlineStr">
        <is>
          <r>
            <rPr>
              <rFont val="Calibri"/>
              <b val="1"/>
              <color rgb="002E2D29"/>
              <sz val="10"/>
            </rPr>
            <t xml:space="preserve">Fact: </t>
          </r>
          <r>
            <rPr>
              <rFont val="Calibri"/>
              <color rgb="002E2D29"/>
              <sz val="10"/>
            </rPr>
            <t>If equity, not debt, must fund the exploration well regardless of how good the map is, the mapping layer does not actually unlock cheaper capital until after a well is drilled and the resource confirmed; this caps how much of the well-cost reduction argument mapping vendors can honestly claim as their contribution.</t>
          </r>
        </is>
      </c>
    </row>
    <row r="21" ht="30" customHeight="1">
      <c r="B21" s="4" t="inlineStr">
        <is>
          <r>
            <rPr>
              <rFont val="Calibri"/>
              <b val="1"/>
              <color rgb="002E2D29"/>
              <sz val="10"/>
            </rPr>
            <t xml:space="preserve">Not known: </t>
          </r>
          <r>
            <rPr>
              <rFont val="Calibri"/>
              <color rgb="002E2D29"/>
              <sz val="10"/>
            </rPr>
            <t>The dollar size of the project-finance gap between exploration equity and construction debt ('the missing middle') is described only qualitatively in the sources reviewed, not quantified.</t>
          </r>
        </is>
      </c>
    </row>
    <row r="22" ht="15" customHeight="1">
      <c r="B22" s="4" t="inlineStr">
        <is>
          <r>
            <rPr>
              <rFont val="Calibri"/>
              <b val="1"/>
              <i val="1"/>
              <color rgb="00808080"/>
              <sz val="10"/>
            </rPr>
            <t xml:space="preserve">Source(s): </t>
          </r>
          <r>
            <rPr>
              <rFont val="Calibri"/>
              <i val="1"/>
              <color rgb="00808080"/>
              <sz val="10"/>
            </rPr>
            <t>none</t>
          </r>
        </is>
      </c>
    </row>
    <row r="24" ht="20" customHeight="1">
      <c r="B24" s="3" t="inlineStr">
        <is>
          <t>(5) PUBLIC DE-RISKING GRANTS ARE SMALL AND SITE-SPECIFIC RELATIVE TO THE SYSTEMIC CONFIDENCE-BUILDING THE INDUSTRY SAYS IT NEEDS</t>
        </is>
      </c>
    </row>
    <row r="25" ht="15" customHeight="1">
      <c r="B25" s="4" t="inlineStr">
        <is>
          <r>
            <rPr>
              <rFont val="Calibri"/>
              <b val="1"/>
              <color rgb="002E2D29"/>
              <sz val="10"/>
            </rPr>
            <t xml:space="preserve">Fact: </t>
          </r>
          <r>
            <rPr>
              <rFont val="Calibri"/>
              <color rgb="002E2D29"/>
              <sz val="10"/>
            </rPr>
            <t>not confirmed</t>
          </r>
        </is>
      </c>
    </row>
    <row r="26" ht="30" customHeight="1">
      <c r="B26" s="4" t="inlineStr">
        <is>
          <r>
            <rPr>
              <rFont val="Calibri"/>
              <b val="1"/>
              <color rgb="002E2D29"/>
              <sz val="10"/>
            </rPr>
            <t xml:space="preserve">Not known: </t>
          </r>
          <r>
            <rPr>
              <rFont val="Calibri"/>
              <color rgb="002E2D29"/>
              <sz val="10"/>
            </rPr>
            <t>Whether follow-on federal funding rounds of comparable or larger scale are planned is not disclosed in the sources reviewed.</t>
          </r>
        </is>
      </c>
    </row>
    <row r="27" ht="15" customHeight="1">
      <c r="B27" s="4" t="inlineStr">
        <is>
          <r>
            <rPr>
              <rFont val="Calibri"/>
              <b val="1"/>
              <i val="1"/>
              <color rgb="00808080"/>
              <sz val="10"/>
            </rPr>
            <t xml:space="preserve">Source(s): </t>
          </r>
          <r>
            <rPr>
              <rFont val="Calibri"/>
              <i val="1"/>
              <color rgb="00808080"/>
              <sz val="10"/>
            </rPr>
            <t>none</t>
          </r>
        </is>
      </c>
    </row>
    <row r="29" ht="20" customHeight="1">
      <c r="B29" s="3" t="inlineStr">
        <is>
          <t>(6) FLUID-INDUCED SEISMICITY IS A TECHNICAL RISK THAT CAN KILL A PROJECT AFTER THE MAP HAS ALREADY IDENTIFIED A TARGET</t>
        </is>
      </c>
    </row>
    <row r="30" ht="45" customHeight="1">
      <c r="B30" s="4" t="inlineStr">
        <is>
          <r>
            <rPr>
              <rFont val="Calibri"/>
              <b val="1"/>
              <color rgb="002E2D29"/>
              <sz val="10"/>
            </rPr>
            <t xml:space="preserve">Fact: </t>
          </r>
          <r>
            <rPr>
              <rFont val="Calibri"/>
              <color rgb="002E2D29"/>
              <sz val="10"/>
            </rPr>
            <t>A mapping company can correctly locate a resource and still see the project stall or fail on public-acceptance grounds if induced seismicity is poorly communicated or occurs at a level severe enough to jeopardize the project, which breaks the chain from 'good map' to 'built plant' the thesis assumes.</t>
          </r>
        </is>
      </c>
    </row>
    <row r="31" ht="30" customHeight="1">
      <c r="B31" s="4" t="inlineStr">
        <is>
          <r>
            <rPr>
              <rFont val="Calibri"/>
              <b val="1"/>
              <color rgb="002E2D29"/>
              <sz val="10"/>
            </rPr>
            <t xml:space="preserve">Not known: </t>
          </r>
          <r>
            <rPr>
              <rFont val="Calibri"/>
              <color rgb="002E2D29"/>
              <sz val="10"/>
            </rPr>
            <t>The base-rate frequency of induced-seismicity events severe enough to halt a project is not disclosed in the sources reviewed.</t>
          </r>
        </is>
      </c>
    </row>
    <row r="32" ht="15" customHeight="1">
      <c r="B32" s="4" t="inlineStr">
        <is>
          <r>
            <rPr>
              <rFont val="Calibri"/>
              <b val="1"/>
              <i val="1"/>
              <color rgb="00808080"/>
              <sz val="10"/>
            </rPr>
            <t xml:space="preserve">Source(s): </t>
          </r>
          <r>
            <rPr>
              <rFont val="Calibri"/>
              <i val="1"/>
              <color rgb="00808080"/>
              <sz val="10"/>
            </rPr>
            <t>none</t>
          </r>
        </is>
      </c>
    </row>
    <row r="34" ht="20" customHeight="1">
      <c r="B34" s="3" t="inlineStr">
        <is>
          <t>(7) POST-2025 FEDERAL TAX CREDIT TERMS FOR GEOTHERMAL ARE UNSETTLED AFTER THE ONE BIG BEAUTIFUL BILL RESHAPED INCENTIVES</t>
        </is>
      </c>
    </row>
    <row r="35" ht="45" customHeight="1">
      <c r="B35" s="4" t="inlineStr">
        <is>
          <r>
            <rPr>
              <rFont val="Calibri"/>
              <b val="1"/>
              <color rgb="002E2D29"/>
              <sz val="10"/>
            </rPr>
            <t xml:space="preserve">Fact: </t>
          </r>
          <r>
            <rPr>
              <rFont val="Calibri"/>
              <color rgb="002E2D29"/>
              <sz val="10"/>
            </rPr>
            <t>If the tax-credit tailwind that supports developer economics (and thus demand for mapping services) is reduced or restructured further, developer project counts and mapping-vendor contract volume could fall; the mapping thesis assumes continued policy support that is not guaranteed.</t>
          </r>
        </is>
      </c>
    </row>
    <row r="36" ht="30" customHeight="1">
      <c r="B36" s="4" t="inlineStr">
        <is>
          <r>
            <rPr>
              <rFont val="Calibri"/>
              <b val="1"/>
              <color rgb="002E2D29"/>
              <sz val="10"/>
            </rPr>
            <t xml:space="preserve">Not known: </t>
          </r>
          <r>
            <rPr>
              <rFont val="Calibri"/>
              <color rgb="002E2D29"/>
              <sz val="10"/>
            </rPr>
            <t>The precise post-2025 credit terms for geothermal are not disclosed in the sources found and would need confirmation against the statute text directly; whether the current regime survives future legislative changes intact is unresolved.</t>
          </r>
        </is>
      </c>
    </row>
    <row r="37" ht="15" customHeight="1">
      <c r="B37" s="4" t="inlineStr">
        <is>
          <r>
            <rPr>
              <rFont val="Calibri"/>
              <b val="1"/>
              <i val="1"/>
              <color rgb="00808080"/>
              <sz val="10"/>
            </rPr>
            <t xml:space="preserve">Source(s): </t>
          </r>
          <r>
            <rPr>
              <rFont val="Calibri"/>
              <i val="1"/>
              <color rgb="00808080"/>
              <sz val="10"/>
            </rPr>
            <t>none</t>
          </r>
        </is>
      </c>
    </row>
    <row r="39" ht="20" customHeight="1">
      <c r="B39" s="3" t="inlineStr">
        <is>
          <t>(8) THE MAPPING LAYER IS INCREASINGLY TAKING EQUITY IN THE POWER PLANTS IT MAPS, WHICH BLURS ITS RISK PROFILE FROM A SERVICES BUSINESS INTO A PROJECT-DEVELOPMENT BUSINESS</t>
        </is>
      </c>
    </row>
    <row r="40" ht="45" customHeight="1">
      <c r="B40" s="4" t="inlineStr">
        <is>
          <r>
            <rPr>
              <rFont val="Calibri"/>
              <b val="1"/>
              <color rgb="002E2D29"/>
              <sz val="10"/>
            </rPr>
            <t xml:space="preserve">Fact: </t>
          </r>
          <r>
            <rPr>
              <rFont val="Calibri"/>
              <color rgb="002E2D29"/>
              <sz val="10"/>
            </rPr>
            <t>If a mapping vendor's Series C proceeds are earmarked partly for building its own greenfield plants, an investor buying the 'mapping as a service' thesis is really buying construction and offtake risk too, which carries the full financing, permitting and drilling risks listed above rather than a lighter-asset services risk profile.</t>
          </r>
        </is>
      </c>
    </row>
    <row r="41" ht="30" customHeight="1">
      <c r="B41" s="4" t="inlineStr">
        <is>
          <r>
            <rPr>
              <rFont val="Calibri"/>
              <b val="1"/>
              <color rgb="002E2D29"/>
              <sz val="10"/>
            </rPr>
            <t xml:space="preserve">Not known: </t>
          </r>
          <r>
            <rPr>
              <rFont val="Calibri"/>
              <color rgb="002E2D29"/>
              <sz val="10"/>
            </rPr>
            <t>What fraction of Zanskar's Series C proceeds is allocated to greenfield plant construction versus the discovery platform is not broken out in dollar terms in the sources reviewed.</t>
          </r>
        </is>
      </c>
    </row>
    <row r="42" ht="15" customHeight="1">
      <c r="B42" s="4" t="inlineStr">
        <is>
          <r>
            <rPr>
              <rFont val="Calibri"/>
              <b val="1"/>
              <i val="1"/>
              <color rgb="00808080"/>
              <sz val="10"/>
            </rPr>
            <t xml:space="preserve">Source(s): </t>
          </r>
          <r>
            <rPr>
              <rFont val="Calibri"/>
              <i val="1"/>
              <color rgb="00808080"/>
              <sz val="10"/>
            </rPr>
            <t>none</t>
          </r>
        </is>
      </c>
    </row>
    <row r="44" ht="20" customHeight="1">
      <c r="B44" s="3" t="inlineStr">
        <is>
          <t>(9) ERW'S OWN DEALS TABLE CANNOT CORROBORATE DEAL TERMS FOR THE ONE GEOTHERMAL TRANSACTION ON FILE</t>
        </is>
      </c>
    </row>
    <row r="45" ht="45" customHeight="1">
      <c r="B45" s="4" t="inlineStr">
        <is>
          <r>
            <rPr>
              <rFont val="Calibri"/>
              <b val="1"/>
              <color rgb="002E2D29"/>
              <sz val="10"/>
            </rPr>
            <t xml:space="preserve">Fact: </t>
          </r>
          <r>
            <rPr>
              <rFont val="Calibri"/>
              <color rgb="002E2D29"/>
              <sz val="10"/>
            </rPr>
            <t>If an investor relies on the warehouse to track deal flow and validate that capital is moving into this niche, the single geothermal-tagged row returns null for price, dollars and mw fields, so the warehouse itself provides no confirmable transaction-level evidence for this niche beyond company self-reporting via news.</t>
          </r>
        </is>
      </c>
    </row>
    <row r="46" ht="30" customHeight="1">
      <c r="B46" s="4" t="inlineStr">
        <is>
          <r>
            <rPr>
              <rFont val="Calibri"/>
              <b val="1"/>
              <color rgb="002E2D29"/>
              <sz val="10"/>
            </rPr>
            <t xml:space="preserve">Not known: </t>
          </r>
          <r>
            <rPr>
              <rFont val="Calibri"/>
              <color rgb="002E2D29"/>
              <sz val="10"/>
            </rPr>
            <t>The dollar amount, buyer detail beyond 'investors' and full terms of the 2026-05-04 Fervo Energy equity raise are not disclosed in the warehouse's structured extraction.</t>
          </r>
        </is>
      </c>
    </row>
    <row r="47" ht="30" customHeight="1">
      <c r="B47" s="4" t="inlineStr">
        <is>
          <r>
            <rPr>
              <rFont val="Calibri"/>
              <b val="1"/>
              <i val="1"/>
              <color rgb="00808080"/>
              <sz val="10"/>
            </rPr>
            <t xml:space="preserve">Source(s): </t>
          </r>
          <r>
            <rPr>
              <rFont val="Calibri"/>
              <i val="1"/>
              <color rgb="00808080"/>
              <sz val="10"/>
            </rPr>
            <t>E9 ERW table energy_deals; E11 ERW table energy_deals; E12 ERW table energy_deals; E14 ERW table energy_deals; E15 ERW table energy_deals</t>
          </r>
        </is>
      </c>
    </row>
    <row r="49" ht="20" customHeight="1">
      <c r="B49" s="3" t="inlineStr">
        <is>
          <t>(10) DEMAND CONCENTRATION IN A HANDFUL OF HYPERSCALER OFFTAKERS MAKES THE MAPPING LAYER'S ADDRESSABLE MARKET NARROWER THAN HEADLINE RESOURCE ESTIMATES SUGGEST</t>
        </is>
      </c>
    </row>
    <row r="50" ht="15" customHeight="1">
      <c r="B50" s="4" t="inlineStr">
        <is>
          <r>
            <rPr>
              <rFont val="Calibri"/>
              <b val="1"/>
              <color rgb="002E2D29"/>
              <sz val="10"/>
            </rPr>
            <t xml:space="preserve">Fact: </t>
          </r>
          <r>
            <rPr>
              <rFont val="Calibri"/>
              <color rgb="002E2D29"/>
              <sz val="10"/>
            </rPr>
            <t>not confirmed</t>
          </r>
        </is>
      </c>
    </row>
    <row r="51" ht="45" customHeight="1">
      <c r="B51" s="4" t="inlineStr">
        <is>
          <r>
            <rPr>
              <rFont val="Calibri"/>
              <b val="1"/>
              <color rgb="002E2D29"/>
              <sz val="10"/>
            </rPr>
            <t xml:space="preserve">Not known: </t>
          </r>
          <r>
            <rPr>
              <rFont val="Calibri"/>
              <color rgb="002E2D29"/>
              <sz val="10"/>
            </rPr>
            <t>No source found in this research states a total addressable market size in dollars for subsurface heat mapping as a standalone service category, so the gap between geologic potential and contracted, mapping-relevant demand is not quantified.</t>
          </r>
        </is>
      </c>
    </row>
    <row r="52" ht="15" customHeight="1">
      <c r="B52" s="4" t="inlineStr">
        <is>
          <r>
            <rPr>
              <rFont val="Calibri"/>
              <b val="1"/>
              <i val="1"/>
              <color rgb="00808080"/>
              <sz val="10"/>
            </rPr>
            <t xml:space="preserve">Source(s): </t>
          </r>
          <r>
            <rPr>
              <rFont val="Calibri"/>
              <i val="1"/>
              <color rgb="00808080"/>
              <sz val="10"/>
            </rPr>
            <t>none</t>
          </r>
        </is>
      </c>
    </row>
  </sheetData>
  <mergeCells count="40">
    <mergeCell ref="B7:I7"/>
    <mergeCell ref="B25:I25"/>
    <mergeCell ref="B47:I47"/>
    <mergeCell ref="B16:I16"/>
    <mergeCell ref="B22:I22"/>
    <mergeCell ref="B31:I31"/>
    <mergeCell ref="B46:I46"/>
    <mergeCell ref="B27:I27"/>
    <mergeCell ref="B12:I12"/>
    <mergeCell ref="B52:I52"/>
    <mergeCell ref="B21:I21"/>
    <mergeCell ref="B39:I39"/>
    <mergeCell ref="B11:I11"/>
    <mergeCell ref="B50:I50"/>
    <mergeCell ref="B42:I42"/>
    <mergeCell ref="B14:I14"/>
    <mergeCell ref="B17:I17"/>
    <mergeCell ref="B35:I35"/>
    <mergeCell ref="B44:I44"/>
    <mergeCell ref="B29:I29"/>
    <mergeCell ref="B34:I34"/>
    <mergeCell ref="B10:I10"/>
    <mergeCell ref="B19:I19"/>
    <mergeCell ref="B37:I37"/>
    <mergeCell ref="B49:I49"/>
    <mergeCell ref="B40:I40"/>
    <mergeCell ref="B9:I9"/>
    <mergeCell ref="B30:I30"/>
    <mergeCell ref="B15:I15"/>
    <mergeCell ref="B6:I6"/>
    <mergeCell ref="B24:I24"/>
    <mergeCell ref="B51:I51"/>
    <mergeCell ref="B20:I20"/>
    <mergeCell ref="B5:I5"/>
    <mergeCell ref="B36:I36"/>
    <mergeCell ref="B45:I45"/>
    <mergeCell ref="B41:I41"/>
    <mergeCell ref="B32:I32"/>
    <mergeCell ref="B4:I4"/>
    <mergeCell ref="B26:I2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I223"/>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Sources</t>
        </is>
      </c>
    </row>
    <row r="2">
      <c r="B2" s="2" t="inlineStr">
        <is>
          <t>subsurface heat mapping for geothermal</t>
        </is>
      </c>
    </row>
    <row r="4" ht="20" customHeight="1">
      <c r="B4" s="3" t="inlineStr">
        <is>
          <t>(1) EVERY SOURCE, ITS RETRIEVAL DATE AND THE CELLS IT SUPPORTS</t>
        </is>
      </c>
    </row>
    <row r="5">
      <c r="B5" s="5" t="inlineStr">
        <is>
          <t>Id</t>
        </is>
      </c>
      <c r="C5" s="5" t="inlineStr">
        <is>
          <t>Title</t>
        </is>
      </c>
      <c r="D5" s="5" t="inlineStr">
        <is>
          <t>URL</t>
        </is>
      </c>
      <c r="E5" s="5" t="inlineStr">
        <is>
          <t>Retrieved</t>
        </is>
      </c>
      <c r="F5" s="5" t="inlineStr">
        <is>
          <t>Page age</t>
        </is>
      </c>
      <c r="G5" s="5" t="inlineStr">
        <is>
          <t>Cells it supports</t>
        </is>
      </c>
    </row>
    <row r="6">
      <c r="B6" s="6" t="inlineStr">
        <is>
          <t>S1</t>
        </is>
      </c>
      <c r="C6" s="6" t="inlineStr">
        <is>
          <t>Zanskar - Crunchbase Company Profile &amp; Funding</t>
        </is>
      </c>
      <c r="D6" s="6" t="inlineStr">
        <is>
          <t>https://www.crunchbase.com/organization/zanskar</t>
        </is>
      </c>
      <c r="E6" s="6" t="inlineStr">
        <is>
          <t>2026-09-28</t>
        </is>
      </c>
      <c r="F6" s="6" t="inlineStr"/>
      <c r="G6" s="6" t="inlineStr">
        <is>
          <t>'Scope'!B6; 'Landscape'!B7:J7; 'Landscape'!B14</t>
        </is>
      </c>
    </row>
    <row r="7">
      <c r="B7" s="7" t="inlineStr">
        <is>
          <t>S2</t>
        </is>
      </c>
      <c r="C7" s="7" t="inlineStr">
        <is>
          <t>Old-School Geothermal Is Due for a Comeback, Says AI Startup - Heatmap News</t>
        </is>
      </c>
      <c r="D7" s="7" t="inlineStr">
        <is>
          <t>https://heatmap.news/climate-tech/ai-geothermal-discovery</t>
        </is>
      </c>
      <c r="E7" s="7" t="inlineStr">
        <is>
          <t>2026-09-28</t>
        </is>
      </c>
      <c r="F7" s="7" t="inlineStr">
        <is>
          <t>September 18, 2025</t>
        </is>
      </c>
      <c r="G7" s="7" t="inlineStr">
        <is>
          <t>'Scope'!B11:C11; 'Scope'!B13:C13; 'Scope'!B15</t>
        </is>
      </c>
    </row>
    <row r="8">
      <c r="B8" s="6" t="inlineStr">
        <is>
          <t>S3</t>
        </is>
      </c>
      <c r="C8" s="6" t="inlineStr">
        <is>
          <t>Zanskar Raises $115 Million to Propel Geothermal Discoveries - Heatmap News</t>
        </is>
      </c>
      <c r="D8" s="6" t="inlineStr">
        <is>
          <t>https://heatmap.news/climate-tech/zanskar-series-c</t>
        </is>
      </c>
      <c r="E8" s="6" t="inlineStr">
        <is>
          <t>2026-09-28</t>
        </is>
      </c>
      <c r="F8" s="6" t="inlineStr">
        <is>
          <t>January 21, 2026</t>
        </is>
      </c>
      <c r="G8" s="6" t="inlineStr">
        <is>
          <t>searched, not cited in a cell</t>
        </is>
      </c>
    </row>
    <row r="9">
      <c r="B9" s="7" t="inlineStr">
        <is>
          <t>S4</t>
        </is>
      </c>
      <c r="C9" s="7" t="inlineStr">
        <is>
          <t>How AI is uncovering hidden geothermal energy resources | MIT Technology Review</t>
        </is>
      </c>
      <c r="D9" s="7" t="inlineStr">
        <is>
          <t>https://www.technologyreview.com/2025/12/04/1128763/ai-geothermal-zanskar/</t>
        </is>
      </c>
      <c r="E9" s="7" t="inlineStr">
        <is>
          <t>2026-09-28</t>
        </is>
      </c>
      <c r="F9" s="7" t="inlineStr">
        <is>
          <t>December 4, 2025</t>
        </is>
      </c>
      <c r="G9" s="7" t="inlineStr">
        <is>
          <t>searched, not cited in a cell</t>
        </is>
      </c>
    </row>
    <row r="10">
      <c r="B10" s="6" t="inlineStr">
        <is>
          <t>S5</t>
        </is>
      </c>
      <c r="C10" s="6" t="inlineStr">
        <is>
          <t>Zanskar Geothermal</t>
        </is>
      </c>
      <c r="D10" s="6" t="inlineStr">
        <is>
          <t>https://zanskar.com/</t>
        </is>
      </c>
      <c r="E10" s="6" t="inlineStr">
        <is>
          <t>2026-09-28</t>
        </is>
      </c>
      <c r="F10" s="6" t="inlineStr"/>
      <c r="G10" s="6" t="inlineStr">
        <is>
          <t>'Landscape'!B7:J7; 'Landscape'!B14</t>
        </is>
      </c>
    </row>
    <row r="11">
      <c r="B11" s="7" t="inlineStr">
        <is>
          <t>S6</t>
        </is>
      </c>
      <c r="C11" s="7" t="inlineStr">
        <is>
          <t>The Search Engine for the Subsurface | Lowercarbon Capital</t>
        </is>
      </c>
      <c r="D11" s="7" t="inlineStr">
        <is>
          <t>https://lowercarbon.com/2025/12/04/the-search-engine-for-the-subsurface/</t>
        </is>
      </c>
      <c r="E11" s="7" t="inlineStr">
        <is>
          <t>2026-09-28</t>
        </is>
      </c>
      <c r="F11" s="7" t="inlineStr">
        <is>
          <t>December 4, 2025</t>
        </is>
      </c>
      <c r="G11" s="7" t="inlineStr">
        <is>
          <t>'Fundamentals'!B29</t>
        </is>
      </c>
    </row>
    <row r="12">
      <c r="B12" s="6" t="inlineStr">
        <is>
          <t>S7</t>
        </is>
      </c>
      <c r="C12" s="6" t="inlineStr">
        <is>
          <t>Zanskar | Geothermal Exploration + AI: Bring on the heat</t>
        </is>
      </c>
      <c r="D12" s="6" t="inlineStr">
        <is>
          <t>https://www.ceraweek.com/en/program/zanskar--geothermal-exploration--ai-bring-on-the-heat-1068-52211</t>
        </is>
      </c>
      <c r="E12" s="6" t="inlineStr">
        <is>
          <t>2026-09-28</t>
        </is>
      </c>
      <c r="F12" s="6" t="inlineStr">
        <is>
          <t>March 23, 2026</t>
        </is>
      </c>
      <c r="G12" s="6" t="inlineStr">
        <is>
          <t>searched, not cited in a cell</t>
        </is>
      </c>
    </row>
    <row r="13">
      <c r="B13" s="7" t="inlineStr">
        <is>
          <t>S8</t>
        </is>
      </c>
      <c r="C13" s="7" t="inlineStr">
        <is>
          <t>Zanskar | Lowercarbon Capital</t>
        </is>
      </c>
      <c r="D13" s="7" t="inlineStr">
        <is>
          <t>https://lowercarbon.com/company/zanskar/</t>
        </is>
      </c>
      <c r="E13" s="7" t="inlineStr">
        <is>
          <t>2026-09-28</t>
        </is>
      </c>
      <c r="F13" s="7" t="inlineStr">
        <is>
          <t>April 2, 2026</t>
        </is>
      </c>
      <c r="G13" s="7" t="inlineStr">
        <is>
          <t>'Scope'!B6; 'Scope'!B10:C10; 'Scope'!B15; 'Fundamentals'!B17:F17; 'Fundamentals'!B29; 'Landscape'!B7:J7; 'Landscape'!B14; 'Risks'!B12</t>
        </is>
      </c>
    </row>
    <row r="14">
      <c r="B14" s="6" t="inlineStr">
        <is>
          <t>S9</t>
        </is>
      </c>
      <c r="C14" s="6" t="inlineStr">
        <is>
          <t>Subsurface Property Mapping using Google AlphaEarth Foundations</t>
        </is>
      </c>
      <c r="D14" s="6" t="inlineStr">
        <is>
          <t>https://arxiv.org/pdf/2604.14756</t>
        </is>
      </c>
      <c r="E14" s="6" t="inlineStr">
        <is>
          <t>2026-09-28</t>
        </is>
      </c>
      <c r="F14" s="6" t="inlineStr"/>
      <c r="G14" s="6" t="inlineStr">
        <is>
          <t>searched, not cited in a cell</t>
        </is>
      </c>
    </row>
    <row r="15">
      <c r="B15" s="7" t="inlineStr">
        <is>
          <t>S10</t>
        </is>
      </c>
      <c r="C15" s="7" t="inlineStr">
        <is>
          <t>Zanskar Raises $115 Million to Scale AI-Driven Geothermal Energy - ESG Tech Report</t>
        </is>
      </c>
      <c r="D15" s="7" t="inlineStr">
        <is>
          <t>https://esgtechreport.com/esg/zanskar-raises-115-million-to-scale-ai-driven-geothermal-energy/</t>
        </is>
      </c>
      <c r="E15" s="7" t="inlineStr">
        <is>
          <t>2026-09-28</t>
        </is>
      </c>
      <c r="F15" s="7" t="inlineStr">
        <is>
          <t>January 24, 2026</t>
        </is>
      </c>
      <c r="G15" s="7" t="inlineStr">
        <is>
          <t>searched, not cited in a cell</t>
        </is>
      </c>
    </row>
    <row r="16">
      <c r="B16" s="6" t="inlineStr">
        <is>
          <t>S11</t>
        </is>
      </c>
      <c r="C16" s="6" t="inlineStr">
        <is>
          <t>Enhanced Geothermal Shot</t>
        </is>
      </c>
      <c r="D16" s="6" t="inlineStr">
        <is>
          <t>https://www.energy.gov/sites/default/files/2022-09/EERE-ES-Enhancing-Geothermal-508.pdf</t>
        </is>
      </c>
      <c r="E16" s="6" t="inlineStr">
        <is>
          <t>2026-09-28</t>
        </is>
      </c>
      <c r="F16" s="6" t="inlineStr"/>
      <c r="G16" s="6" t="inlineStr">
        <is>
          <t>'Fundamentals'!B14:F14; 'Fundamentals'!B29</t>
        </is>
      </c>
    </row>
    <row r="17">
      <c r="B17" s="7" t="inlineStr">
        <is>
          <t>S12</t>
        </is>
      </c>
      <c r="C17" s="7" t="inlineStr">
        <is>
          <t>Enhanced Geothermal Shot Analysis for the Geothermal Technologies Office - National Renewable Energy Laboratory</t>
        </is>
      </c>
      <c r="D17" s="7" t="inlineStr">
        <is>
          <t>https://research-hub.nrel.gov/en/publications/enhanced-geothermal-shot-analysis-for-the-geothermal-technologies</t>
        </is>
      </c>
      <c r="E17" s="7" t="inlineStr">
        <is>
          <t>2026-09-28</t>
        </is>
      </c>
      <c r="F17" s="7" t="inlineStr"/>
      <c r="G17" s="7" t="inlineStr">
        <is>
          <t>searched, not cited in a cell</t>
        </is>
      </c>
    </row>
    <row r="18">
      <c r="B18" s="6" t="inlineStr">
        <is>
          <t>S13</t>
        </is>
      </c>
      <c r="C18" s="6" t="inlineStr">
        <is>
          <t>US DOE announces USD 200 million funding for Energy Earthshots</t>
        </is>
      </c>
      <c r="D18" s="6" t="inlineStr">
        <is>
          <t>https://www.thinkgeoenergy.com/us-doe-announces-usd-200-million-funding-for-energy-earthshots/</t>
        </is>
      </c>
      <c r="E18" s="6" t="inlineStr">
        <is>
          <t>2026-09-28</t>
        </is>
      </c>
      <c r="F18" s="6" t="inlineStr">
        <is>
          <t>January 21, 2023</t>
        </is>
      </c>
      <c r="G18" s="6" t="inlineStr">
        <is>
          <t>searched, not cited in a cell</t>
        </is>
      </c>
    </row>
    <row r="19">
      <c r="B19" s="7" t="inlineStr">
        <is>
          <t>S14</t>
        </is>
      </c>
      <c r="C19" s="7" t="inlineStr">
        <is>
          <t>DOE’s Latest Energy Earthshot Will Tackle Technical, Economic Challenges for Enhanced Geothermal Systems | Utah FORGE</t>
        </is>
      </c>
      <c r="D19" s="7" t="inlineStr">
        <is>
          <t>https://utahforge.com/utah_forge_news/does-latest-energy-earthshot-will-tackle-technical-economic-challenges-for-enhanced-geothermal-systems/</t>
        </is>
      </c>
      <c r="E19" s="7" t="inlineStr">
        <is>
          <t>2026-09-28</t>
        </is>
      </c>
      <c r="F19" s="7" t="inlineStr"/>
      <c r="G19" s="7" t="inlineStr">
        <is>
          <t>searched, not cited in a cell</t>
        </is>
      </c>
    </row>
    <row r="20">
      <c r="B20" s="6" t="inlineStr">
        <is>
          <t>S15</t>
        </is>
      </c>
      <c r="C20" s="6" t="inlineStr">
        <is>
          <t>Enhanced Geothermal Shot Analysis for the Geothermal Technologies Office (Technical Report) | OSTI.GOV</t>
        </is>
      </c>
      <c r="D20" s="6" t="inlineStr">
        <is>
          <t>https://www.osti.gov/biblio/1922621</t>
        </is>
      </c>
      <c r="E20" s="6" t="inlineStr">
        <is>
          <t>2026-09-28</t>
        </is>
      </c>
      <c r="F20" s="6" t="inlineStr">
        <is>
          <t>January 24, 2023</t>
        </is>
      </c>
      <c r="G20" s="6" t="inlineStr">
        <is>
          <t>searched, not cited in a cell</t>
        </is>
      </c>
    </row>
    <row r="21">
      <c r="B21" s="7" t="inlineStr">
        <is>
          <t>S16</t>
        </is>
      </c>
      <c r="C21" s="7" t="inlineStr">
        <is>
          <t>Enhanced Geothermal Shot Analysis for the ...</t>
        </is>
      </c>
      <c r="D21" s="7" t="inlineStr">
        <is>
          <t>https://docs.nlr.gov/docs/fy23osti/85033.pdf</t>
        </is>
      </c>
      <c r="E21" s="7" t="inlineStr">
        <is>
          <t>2026-09-28</t>
        </is>
      </c>
      <c r="F21" s="7" t="inlineStr"/>
      <c r="G21" s="7" t="inlineStr">
        <is>
          <t>searched, not cited in a cell</t>
        </is>
      </c>
    </row>
    <row r="22">
      <c r="B22" s="6" t="inlineStr">
        <is>
          <t>S17</t>
        </is>
      </c>
      <c r="C22" s="6" t="inlineStr">
        <is>
          <t>Energy Earthshots Initiative – Yardsale Energy</t>
        </is>
      </c>
      <c r="D22" s="6" t="inlineStr">
        <is>
          <t>https://yardsale.energy/energy-earthshots-initiative/</t>
        </is>
      </c>
      <c r="E22" s="6" t="inlineStr">
        <is>
          <t>2026-09-28</t>
        </is>
      </c>
      <c r="F22" s="6" t="inlineStr"/>
      <c r="G22" s="6" t="inlineStr">
        <is>
          <t>searched, not cited in a cell</t>
        </is>
      </c>
    </row>
    <row r="23">
      <c r="B23" s="7" t="inlineStr">
        <is>
          <t>S18</t>
        </is>
      </c>
      <c r="C23" s="7" t="inlineStr">
        <is>
          <t>Enhanced Geothermal Shot Analysis for the Geothermal Technologies Office: Preprint - National Laboratory of the Rockies</t>
        </is>
      </c>
      <c r="D23" s="7" t="inlineStr">
        <is>
          <t>https://research-hub.nlr.gov/en/publications/enhanced-geothermal-shot-analysis-for-the-geothermal-technologies-2/</t>
        </is>
      </c>
      <c r="E23" s="7" t="inlineStr">
        <is>
          <t>2026-09-28</t>
        </is>
      </c>
      <c r="F23" s="7" t="inlineStr"/>
      <c r="G23" s="7" t="inlineStr">
        <is>
          <t>searched, not cited in a cell</t>
        </is>
      </c>
    </row>
    <row r="24">
      <c r="B24" s="6" t="inlineStr">
        <is>
          <t>S19</t>
        </is>
      </c>
      <c r="C24" s="6" t="inlineStr">
        <is>
          <t>Enhanced Geothermal Shot Analysis for the Geothermal Technologies Office - National Laboratory of the Rockies</t>
        </is>
      </c>
      <c r="D24" s="6" t="inlineStr">
        <is>
          <t>https://research-hub.nlr.gov/en/publications/enhanced-geothermal-shot-analysis-for-the-geothermal-technologies/</t>
        </is>
      </c>
      <c r="E24" s="6" t="inlineStr">
        <is>
          <t>2026-09-28</t>
        </is>
      </c>
      <c r="F24" s="6" t="inlineStr"/>
      <c r="G24" s="6" t="inlineStr">
        <is>
          <t>searched, not cited in a cell</t>
        </is>
      </c>
    </row>
    <row r="25">
      <c r="B25" s="7" t="inlineStr">
        <is>
          <t>S20</t>
        </is>
      </c>
      <c r="C25" s="7" t="inlineStr">
        <is>
          <t>DOE Launches New Energy Earthshot to Slash the Cost of Geothermal Power</t>
        </is>
      </c>
      <c r="D25" s="7" t="inlineStr">
        <is>
          <t>https://www.energy.gov/articles/doe-launches-new-energy-earthshot-slash-cost-geothermal-power</t>
        </is>
      </c>
      <c r="E25" s="7" t="inlineStr">
        <is>
          <t>2026-09-28</t>
        </is>
      </c>
      <c r="F25" s="7" t="inlineStr"/>
      <c r="G25" s="7" t="inlineStr">
        <is>
          <t>searched, not cited in a cell</t>
        </is>
      </c>
    </row>
    <row r="26">
      <c r="B26" s="6" t="inlineStr">
        <is>
          <t>S21</t>
        </is>
      </c>
      <c r="C26" s="6" t="inlineStr">
        <is>
          <t>O’Melveny Advises Zanskar on US$115M Series C Funding - O'Melveny</t>
        </is>
      </c>
      <c r="D26" s="6" t="inlineStr">
        <is>
          <t>https://www.omm.com/news/press-releases/o-melveny-advises-zanskar-on-us-115m-series-c-funding/</t>
        </is>
      </c>
      <c r="E26" s="6" t="inlineStr">
        <is>
          <t>2026-09-28</t>
        </is>
      </c>
      <c r="F26" s="6" t="inlineStr">
        <is>
          <t>January 22, 2026</t>
        </is>
      </c>
      <c r="G26" s="6" t="inlineStr">
        <is>
          <t>'Fundamentals'!B19:F19; 'Fundamentals'!B21:F21; 'Fundamentals'!B29; 'Trends'!B126:E126; 'Trends'!B127:E127; 'Trends'!B128:E128; 'Trends'!B129:E129; 'Trends'!B130; 'Landscape'!B7:J7; 'Landscape'!B14; 'Capital'!B14:H14; 'Capital'!B25</t>
        </is>
      </c>
    </row>
    <row r="27">
      <c r="B27" s="7" t="inlineStr">
        <is>
          <t>S22</t>
        </is>
      </c>
      <c r="C27" s="7" t="inlineStr">
        <is>
          <t>Zanskar raises $115M Series C following record-setting year of geothermal discoveries – Utah Business</t>
        </is>
      </c>
      <c r="D27" s="7" t="inlineStr">
        <is>
          <t>https://www.utahbusiness.com/press-releases/2026/01/23/zanskar-raises-115-million-series-c-following-year-geothermal-discoveries/</t>
        </is>
      </c>
      <c r="E27" s="7" t="inlineStr">
        <is>
          <t>2026-09-28</t>
        </is>
      </c>
      <c r="F27" s="7" t="inlineStr">
        <is>
          <t>January 24, 2026</t>
        </is>
      </c>
      <c r="G27" s="7" t="inlineStr">
        <is>
          <t>'Fundamentals'!B18:F18; 'Fundamentals'!B21:F21; 'Fundamentals'!B29; 'Trends'!B126:E126; 'Trends'!B127:E127; 'Trends'!B128:E128; 'Trends'!B129:E129; 'Trends'!B130; 'Landscape'!B7:J7; 'Landscape'!B14; 'Capital'!B14:H14; 'Capital'!B25</t>
        </is>
      </c>
    </row>
    <row r="28">
      <c r="B28" s="6" t="inlineStr">
        <is>
          <t>S23</t>
        </is>
      </c>
      <c r="C28" s="6" t="inlineStr">
        <is>
          <t>Zanskar raises $115M Series C Following Record-Setting Year of Geothermal Discoveries</t>
        </is>
      </c>
      <c r="D28" s="6" t="inlineStr">
        <is>
          <t>https://finance.yahoo.com/news/zanskar-raises-115m-series-c-130000291.html</t>
        </is>
      </c>
      <c r="E28" s="6" t="inlineStr">
        <is>
          <t>2026-09-28</t>
        </is>
      </c>
      <c r="F28" s="6" t="inlineStr">
        <is>
          <t>January 21, 2026</t>
        </is>
      </c>
      <c r="G28" s="6" t="inlineStr">
        <is>
          <t>searched, not cited in a cell</t>
        </is>
      </c>
    </row>
    <row r="29">
      <c r="B29" s="7" t="inlineStr">
        <is>
          <t>S24</t>
        </is>
      </c>
      <c r="C29" s="7" t="inlineStr">
        <is>
          <t>Zanskar raises $115M to support expansion of AI-based geothermal discovery platform</t>
        </is>
      </c>
      <c r="D29" s="7" t="inlineStr">
        <is>
          <t>https://www.thinkgeoenergy.com/zanskar-raises-115m-for-ai-based-geothermal-expansion/</t>
        </is>
      </c>
      <c r="E29" s="7" t="inlineStr">
        <is>
          <t>2026-09-28</t>
        </is>
      </c>
      <c r="F29" s="7" t="inlineStr">
        <is>
          <t>January 24, 2026</t>
        </is>
      </c>
      <c r="G29" s="7" t="inlineStr">
        <is>
          <t>searched, not cited in a cell</t>
        </is>
      </c>
    </row>
    <row r="30">
      <c r="B30" s="6" t="inlineStr">
        <is>
          <t>S25</t>
        </is>
      </c>
      <c r="C30" s="6" t="inlineStr">
        <is>
          <t>Geothermal Startup Zanskar Raises $115 Million to Find and Develop Carbon-Free Energy Using AI - ESG Today</t>
        </is>
      </c>
      <c r="D30" s="6" t="inlineStr">
        <is>
          <t>https://www.esgtoday.com/geothermal-startup-zanskar-raises-115-million-to-find-and-develop-carbon-free-energy-using-ai/</t>
        </is>
      </c>
      <c r="E30" s="6" t="inlineStr">
        <is>
          <t>2026-09-28</t>
        </is>
      </c>
      <c r="F30" s="6" t="inlineStr">
        <is>
          <t>January 22, 2026</t>
        </is>
      </c>
      <c r="G30" s="6" t="inlineStr">
        <is>
          <t>'Landscape'!B7:J7; 'Landscape'!B14; 'Capital'!B14:H14; 'Capital'!B25</t>
        </is>
      </c>
    </row>
    <row r="31">
      <c r="B31" s="7" t="inlineStr">
        <is>
          <t>S26</t>
        </is>
      </c>
      <c r="C31" s="7" t="inlineStr">
        <is>
          <t>Armed with $115 million, geothermal startup Zanskar gets ready to build | Latitude Media</t>
        </is>
      </c>
      <c r="D31" s="7" t="inlineStr">
        <is>
          <t>https://www.latitudemedia.com/news/armed-with-115-million-geothermal-startup-zanskar-gets-ready-to-build/</t>
        </is>
      </c>
      <c r="E31" s="7" t="inlineStr">
        <is>
          <t>2026-09-28</t>
        </is>
      </c>
      <c r="F31" s="7" t="inlineStr">
        <is>
          <t>January 21, 2026</t>
        </is>
      </c>
      <c r="G31" s="7" t="inlineStr">
        <is>
          <t>'Landscape'!B7:J7; 'Landscape'!B14; 'Capital'!B8:H8; 'Capital'!B25</t>
        </is>
      </c>
    </row>
    <row r="32">
      <c r="B32" s="6" t="inlineStr">
        <is>
          <t>S27</t>
        </is>
      </c>
      <c r="C32" s="6" t="inlineStr">
        <is>
          <t>Zanskar raises $115M Series C Following Record-Setting Year of Geothermal Discoveries</t>
        </is>
      </c>
      <c r="D32" s="6" t="inlineStr">
        <is>
          <t>https://www.globenewswire.com/news-release/2026/01/21/3222733/0/en/Zanskar-raises-115M-Series-C-Following-Record-Setting-Year-of-Geothermal-Discoveries.html</t>
        </is>
      </c>
      <c r="E32" s="6" t="inlineStr">
        <is>
          <t>2026-09-28</t>
        </is>
      </c>
      <c r="F32" s="6" t="inlineStr">
        <is>
          <t>January 21, 2026</t>
        </is>
      </c>
      <c r="G32" s="6" t="inlineStr">
        <is>
          <t>searched, not cited in a cell</t>
        </is>
      </c>
    </row>
    <row r="33">
      <c r="B33" s="7" t="inlineStr">
        <is>
          <t>S28</t>
        </is>
      </c>
      <c r="C33" s="7" t="inlineStr">
        <is>
          <t>Zanskar’s Recent $115 Million Series C Financing Round and What It Means for Utah’s Energy Future</t>
        </is>
      </c>
      <c r="D33" s="7" t="inlineStr">
        <is>
          <t>https://www.utahmoneywatch.com/zanskars-recent-115-million-series-c-financing-round-and-what-it-means-for-utahs-energy-future/</t>
        </is>
      </c>
      <c r="E33" s="7" t="inlineStr">
        <is>
          <t>2026-09-28</t>
        </is>
      </c>
      <c r="F33" s="7" t="inlineStr">
        <is>
          <t>January 29, 2026</t>
        </is>
      </c>
      <c r="G33" s="7" t="inlineStr">
        <is>
          <t>searched, not cited in a cell</t>
        </is>
      </c>
    </row>
    <row r="34">
      <c r="B34" s="6" t="inlineStr">
        <is>
          <t>S29</t>
        </is>
      </c>
      <c r="C34" s="6" t="inlineStr">
        <is>
          <t>Electric-grade geothermal energy resources of the U.S. | U.S. Geological Survey</t>
        </is>
      </c>
      <c r="D34" s="6" t="inlineStr">
        <is>
          <t>https://www.usgs.gov/media/images/electric-grade-geothermal-energy-resources-us</t>
        </is>
      </c>
      <c r="E34" s="6" t="inlineStr">
        <is>
          <t>2026-09-28</t>
        </is>
      </c>
      <c r="F34" s="6" t="inlineStr"/>
      <c r="G34" s="6" t="inlineStr">
        <is>
          <t>searched, not cited in a cell</t>
        </is>
      </c>
    </row>
    <row r="35">
      <c r="B35" s="7" t="inlineStr">
        <is>
          <t>S30</t>
        </is>
      </c>
      <c r="C35" s="7" t="inlineStr">
        <is>
          <t>Assessment of Moderate- and High-Temperature Geothermal Resources of the United States | U.S. Geological Survey</t>
        </is>
      </c>
      <c r="D35" s="7" t="inlineStr">
        <is>
          <t>https://www.usgs.gov/publications/assessment-moderate-and-high-temperature-geothermal-resources-united-states</t>
        </is>
      </c>
      <c r="E35" s="7" t="inlineStr">
        <is>
          <t>2026-09-28</t>
        </is>
      </c>
      <c r="F35" s="7" t="inlineStr"/>
      <c r="G35" s="7" t="inlineStr">
        <is>
          <t>'Fundamentals'!B11:F11; 'Fundamentals'!B12:F12; 'Fundamentals'!B29; 'Trends'!B7:D7; 'Trends'!B8:D8; 'Trends'!B9:D9; 'Trends'!B10:D10; 'Trends'!B26</t>
        </is>
      </c>
    </row>
    <row r="36">
      <c r="B36" s="6" t="inlineStr">
        <is>
          <t>S31</t>
        </is>
      </c>
      <c r="C36" s="6" t="inlineStr">
        <is>
          <t>A vast hidden energy source is lurking beneath the US | BBC Science Focus Magazine</t>
        </is>
      </c>
      <c r="D36" s="6" t="inlineStr">
        <is>
          <t>https://www.sciencefocus.com/news/energy-source-usa</t>
        </is>
      </c>
      <c r="E36" s="6" t="inlineStr">
        <is>
          <t>2026-09-28</t>
        </is>
      </c>
      <c r="F36" s="6" t="inlineStr">
        <is>
          <t>May 23, 2025</t>
        </is>
      </c>
      <c r="G36" s="6" t="inlineStr">
        <is>
          <t>searched, not cited in a cell</t>
        </is>
      </c>
    </row>
    <row r="37">
      <c r="B37" s="7" t="inlineStr">
        <is>
          <t>S32</t>
        </is>
      </c>
      <c r="C37" s="7" t="inlineStr">
        <is>
          <t>USGS Releases First Geothermal Resource Assessment in 30 Years | Article | EESI</t>
        </is>
      </c>
      <c r="D37" s="7" t="inlineStr">
        <is>
          <t>https://www.eesi.org/articles/view/usgs-releases-first-geothermal-resource-assessment-in-30-years</t>
        </is>
      </c>
      <c r="E37" s="7" t="inlineStr">
        <is>
          <t>2026-09-28</t>
        </is>
      </c>
      <c r="F37" s="7" t="inlineStr"/>
      <c r="G37" s="7" t="inlineStr">
        <is>
          <t>searched, not cited in a cell</t>
        </is>
      </c>
    </row>
    <row r="38">
      <c r="B38" s="6" t="inlineStr">
        <is>
          <t>S33</t>
        </is>
      </c>
      <c r="C38" s="6" t="inlineStr">
        <is>
          <t>pubs.usgs.gov</t>
        </is>
      </c>
      <c r="D38" s="6" t="inlineStr">
        <is>
          <t>https://pubs.usgs.gov/fs/2025/3027/fs20253027.pdf</t>
        </is>
      </c>
      <c r="E38" s="6" t="inlineStr">
        <is>
          <t>2026-09-28</t>
        </is>
      </c>
      <c r="F38" s="6" t="inlineStr"/>
      <c r="G38" s="6" t="inlineStr">
        <is>
          <t>searched, not cited in a cell</t>
        </is>
      </c>
    </row>
    <row r="39">
      <c r="B39" s="7" t="inlineStr">
        <is>
          <t>S34</t>
        </is>
      </c>
      <c r="C39" s="7" t="inlineStr">
        <is>
          <t>Enhanced Geothermal Systems Electric-Resource Assessment for the Great Basin, Southwestern United States</t>
        </is>
      </c>
      <c r="D39" s="7" t="inlineStr">
        <is>
          <t>https://pubs.usgs.gov/publication/fs20253027</t>
        </is>
      </c>
      <c r="E39" s="7" t="inlineStr">
        <is>
          <t>2026-09-28</t>
        </is>
      </c>
      <c r="F39" s="7" t="inlineStr"/>
      <c r="G39" s="7" t="inlineStr">
        <is>
          <t>'Fundamentals'!B13:F13; 'Fundamentals'!B29</t>
        </is>
      </c>
    </row>
    <row r="40">
      <c r="B40" s="6" t="inlineStr">
        <is>
          <t>S35</t>
        </is>
      </c>
      <c r="C40" s="6" t="inlineStr">
        <is>
          <t>USGS Coastal Storm Team gears up for 2025 hurricane season</t>
        </is>
      </c>
      <c r="D40" s="6" t="inlineStr">
        <is>
          <t>https://usgs.gov/news?ID=145</t>
        </is>
      </c>
      <c r="E40" s="6" t="inlineStr">
        <is>
          <t>2026-09-28</t>
        </is>
      </c>
      <c r="F40" s="6" t="inlineStr"/>
      <c r="G40" s="6" t="inlineStr">
        <is>
          <t>searched, not cited in a cell</t>
        </is>
      </c>
    </row>
    <row r="41">
      <c r="B41" s="7" t="inlineStr">
        <is>
          <t>S36</t>
        </is>
      </c>
      <c r="C41" s="7" t="inlineStr">
        <is>
          <t>Assessment of Moderate- and High-Temperature Geothermal Resources of the United States</t>
        </is>
      </c>
      <c r="D41" s="7" t="inlineStr">
        <is>
          <t>https://pubs.usgs.gov/publication/fs20083082</t>
        </is>
      </c>
      <c r="E41" s="7" t="inlineStr">
        <is>
          <t>2026-09-28</t>
        </is>
      </c>
      <c r="F41" s="7" t="inlineStr"/>
      <c r="G41" s="7" t="inlineStr">
        <is>
          <t>searched, not cited in a cell</t>
        </is>
      </c>
    </row>
    <row r="42">
      <c r="B42" s="6" t="inlineStr">
        <is>
          <t>S37</t>
        </is>
      </c>
      <c r="C42" s="6" t="inlineStr">
        <is>
          <t>electric grade geothermal energy resources us</t>
        </is>
      </c>
      <c r="D42" s="6" t="inlineStr">
        <is>
          <t>https://www.usgs.gov/index.php/media/images/electric-grade-geothermal-energy-resources-us</t>
        </is>
      </c>
      <c r="E42" s="6" t="inlineStr">
        <is>
          <t>2026-09-28</t>
        </is>
      </c>
      <c r="F42" s="6" t="inlineStr"/>
      <c r="G42" s="6" t="inlineStr">
        <is>
          <t>searched, not cited in a cell</t>
        </is>
      </c>
    </row>
    <row r="43">
      <c r="B43" s="7" t="inlineStr">
        <is>
          <t>S38</t>
        </is>
      </c>
      <c r="C43" s="7" t="inlineStr">
        <is>
          <t>Solar augmented geothermal energy</t>
        </is>
      </c>
      <c r="D43" s="7" t="inlineStr">
        <is>
          <t>https://en.wikipedia.org/wiki/Solar_augmented_geothermal_energy</t>
        </is>
      </c>
      <c r="E43" s="7" t="inlineStr">
        <is>
          <t>2026-09-28</t>
        </is>
      </c>
      <c r="F43" s="7" t="inlineStr"/>
      <c r="G43" s="7" t="inlineStr">
        <is>
          <t>'Fundamentals'!B15:F15; 'Fundamentals'!B29</t>
        </is>
      </c>
    </row>
    <row r="44">
      <c r="B44" s="6" t="inlineStr">
        <is>
          <t>S39</t>
        </is>
      </c>
      <c r="C44" s="6" t="inlineStr">
        <is>
          <t>Hard Rock Drilling for Super-hot Enhanced Geothermal System Development: Literature Review and Techno-Economic Analysis</t>
        </is>
      </c>
      <c r="D44" s="6" t="inlineStr">
        <is>
          <t>https://arxiv.org/pdf/2402.14824</t>
        </is>
      </c>
      <c r="E44" s="6" t="inlineStr">
        <is>
          <t>2026-09-28</t>
        </is>
      </c>
      <c r="F44" s="6" t="inlineStr"/>
      <c r="G44" s="6" t="inlineStr">
        <is>
          <t>searched, not cited in a cell</t>
        </is>
      </c>
    </row>
    <row r="45">
      <c r="B45" s="7" t="inlineStr">
        <is>
          <t>S40</t>
        </is>
      </c>
      <c r="C45" s="7" t="inlineStr">
        <is>
          <t>Geothermal exploration</t>
        </is>
      </c>
      <c r="D45" s="7" t="inlineStr">
        <is>
          <t>https://en.wikipedia.org/wiki/Geothermal_exploration</t>
        </is>
      </c>
      <c r="E45" s="7" t="inlineStr">
        <is>
          <t>2026-09-28</t>
        </is>
      </c>
      <c r="F45" s="7" t="inlineStr"/>
      <c r="G45" s="7" t="inlineStr">
        <is>
          <t>searched, not cited in a cell</t>
        </is>
      </c>
    </row>
    <row r="46">
      <c r="B46" s="6" t="inlineStr">
        <is>
          <t>S41</t>
        </is>
      </c>
      <c r="C46" s="6" t="inlineStr">
        <is>
          <t>Drilling and Well Completion Cost Analysis for Geothermal ...</t>
        </is>
      </c>
      <c r="D46" s="6" t="inlineStr">
        <is>
          <t>https://pangea.stanford.edu/ERE/pdf/IGAstandard/SGW/2018/Gul.pdf</t>
        </is>
      </c>
      <c r="E46" s="6" t="inlineStr">
        <is>
          <t>2026-09-28</t>
        </is>
      </c>
      <c r="F46" s="6" t="inlineStr"/>
      <c r="G46" s="6" t="inlineStr">
        <is>
          <t>searched, not cited in a cell</t>
        </is>
      </c>
    </row>
    <row r="47">
      <c r="B47" s="7" t="inlineStr">
        <is>
          <t>S42</t>
        </is>
      </c>
      <c r="C47" s="7" t="inlineStr">
        <is>
          <t>Geothermal and Oil &amp; Gas Wells: A Technical Comparison - Drillopedia</t>
        </is>
      </c>
      <c r="D47" s="7" t="inlineStr">
        <is>
          <t>https://www.drillopedia.com/geothermal-well-comparison</t>
        </is>
      </c>
      <c r="E47" s="7" t="inlineStr">
        <is>
          <t>2026-09-28</t>
        </is>
      </c>
      <c r="F47" s="7" t="inlineStr"/>
      <c r="G47" s="7" t="inlineStr">
        <is>
          <t>searched, not cited in a cell</t>
        </is>
      </c>
    </row>
    <row r="48">
      <c r="B48" s="6" t="inlineStr">
        <is>
          <t>S43</t>
        </is>
      </c>
      <c r="C48" s="6" t="inlineStr">
        <is>
          <t>Geothermal drilling and completion | Society of Petroleum Engineers (SPE) | OnePetro</t>
        </is>
      </c>
      <c r="D48" s="6" t="inlineStr">
        <is>
          <t>https://onepetro.org/spe/general-information/1670/Geothermal-drilling-and-completion</t>
        </is>
      </c>
      <c r="E48" s="6" t="inlineStr">
        <is>
          <t>2026-09-28</t>
        </is>
      </c>
      <c r="F48" s="6" t="inlineStr">
        <is>
          <t>January 28, 2025</t>
        </is>
      </c>
      <c r="G48" s="6" t="inlineStr">
        <is>
          <t>searched, not cited in a cell</t>
        </is>
      </c>
    </row>
    <row r="49">
      <c r="B49" s="7" t="inlineStr">
        <is>
          <t>S44</t>
        </is>
      </c>
      <c r="C49" s="7" t="inlineStr">
        <is>
          <t>Geothermal Exploration Drilling | SLB</t>
        </is>
      </c>
      <c r="D49" s="7" t="inlineStr">
        <is>
          <t>https://www.slb.com/products-and-services/scaling-new-energy-systems/geothermal/geothermal-exploration-drilling</t>
        </is>
      </c>
      <c r="E49" s="7" t="inlineStr">
        <is>
          <t>2026-09-28</t>
        </is>
      </c>
      <c r="F49" s="7" t="inlineStr">
        <is>
          <t>January 12, 2026</t>
        </is>
      </c>
      <c r="G49" s="7" t="inlineStr">
        <is>
          <t>'Scope'!B11:C11; 'Scope'!B12:C12; 'Scope'!B15; 'Fundamentals'!B16:F16; 'Fundamentals'!B29</t>
        </is>
      </c>
    </row>
    <row r="50">
      <c r="B50" s="6" t="inlineStr">
        <is>
          <t>S45</t>
        </is>
      </c>
      <c r="C50" s="6" t="inlineStr">
        <is>
          <t>Reducing drilling cost of geothermal wells by optimizing drilling operations: Cost effective study - ScienceDirect</t>
        </is>
      </c>
      <c r="D50" s="6" t="inlineStr">
        <is>
          <t>https://www.sciencedirect.com/science/article/pii/S2666519025000627</t>
        </is>
      </c>
      <c r="E50" s="6" t="inlineStr">
        <is>
          <t>2026-09-28</t>
        </is>
      </c>
      <c r="F50" s="6" t="inlineStr">
        <is>
          <t>April 17, 2025</t>
        </is>
      </c>
      <c r="G50" s="6" t="inlineStr">
        <is>
          <t>searched, not cited in a cell</t>
        </is>
      </c>
    </row>
    <row r="51">
      <c r="B51" s="7" t="inlineStr">
        <is>
          <t>S46</t>
        </is>
      </c>
      <c r="C51" s="7" t="inlineStr">
        <is>
          <t>Thermal Gradient Holes | Open Energy Information</t>
        </is>
      </c>
      <c r="D51" s="7" t="inlineStr">
        <is>
          <t>https://openei.org/wiki/Thermal_Gradient_Holes</t>
        </is>
      </c>
      <c r="E51" s="7" t="inlineStr">
        <is>
          <t>2026-09-28</t>
        </is>
      </c>
      <c r="F51" s="7" t="inlineStr"/>
      <c r="G51" s="7" t="inlineStr">
        <is>
          <t>searched, not cited in a cell</t>
        </is>
      </c>
    </row>
    <row r="52">
      <c r="B52" s="6" t="inlineStr">
        <is>
          <t>S47</t>
        </is>
      </c>
      <c r="C52" s="6" t="inlineStr">
        <is>
          <t>Geothermal developer Fervo raises $462m, with backing from Google - DCD</t>
        </is>
      </c>
      <c r="D52" s="6" t="inlineStr">
        <is>
          <t>https://www.datacenterdynamics.com/en/news/geothermal-developer-fervo-raises-432m-with-backing-from-google/</t>
        </is>
      </c>
      <c r="E52" s="6" t="inlineStr">
        <is>
          <t>2026-09-28</t>
        </is>
      </c>
      <c r="F52" s="6" t="inlineStr">
        <is>
          <t>June 18, 2026</t>
        </is>
      </c>
      <c r="G52" s="6" t="inlineStr">
        <is>
          <t>searched, not cited in a cell</t>
        </is>
      </c>
    </row>
    <row r="53">
      <c r="B53" s="7" t="inlineStr">
        <is>
          <t>S48</t>
        </is>
      </c>
      <c r="C53" s="7" t="inlineStr">
        <is>
          <t>Fervo Energy Geothermal 2026, $1.9B IPO &amp; 750 MW Deal</t>
        </is>
      </c>
      <c r="D53" s="7" t="inlineStr">
        <is>
          <t>https://enkiai.com/geothermal/fervo-enhanced-geothermal-google/</t>
        </is>
      </c>
      <c r="E53" s="7" t="inlineStr">
        <is>
          <t>2026-09-28</t>
        </is>
      </c>
      <c r="F53" s="7" t="inlineStr">
        <is>
          <t>August 18, 2026</t>
        </is>
      </c>
      <c r="G53" s="7" t="inlineStr">
        <is>
          <t>searched, not cited in a cell</t>
        </is>
      </c>
    </row>
    <row r="54">
      <c r="B54" s="6" t="inlineStr">
        <is>
          <t>S49</t>
        </is>
      </c>
      <c r="C54" s="6" t="inlineStr">
        <is>
          <t>Google-Fervo geothermal deal underscores baseload power scarcity, analysts say | ESG Dive</t>
        </is>
      </c>
      <c r="D54" s="6" t="inlineStr">
        <is>
          <t>https://www.esgdive.com/news/analysts-say-fervo-google-geothermal-deal-underscores-baseload-power-scarci/829669/</t>
        </is>
      </c>
      <c r="E54" s="6" t="inlineStr">
        <is>
          <t>2026-09-28</t>
        </is>
      </c>
      <c r="F54" s="6" t="inlineStr">
        <is>
          <t>3 weeks ago</t>
        </is>
      </c>
      <c r="G54" s="6" t="inlineStr">
        <is>
          <t>searched, not cited in a cell</t>
        </is>
      </c>
    </row>
    <row r="55">
      <c r="B55" s="7" t="inlineStr">
        <is>
          <t>S50</t>
        </is>
      </c>
      <c r="C55" s="7" t="inlineStr">
        <is>
          <t>Fervo Energy signs 396-MW geothermal PPA with Google for Utah data center</t>
        </is>
      </c>
      <c r="D55" s="7" t="inlineStr">
        <is>
          <t>https://www.thinkgeoenergy.com/fervo-energy-signs-396-mw-geothermal-ppa-with-google-for-utah-data-center/</t>
        </is>
      </c>
      <c r="E55" s="7" t="inlineStr">
        <is>
          <t>2026-09-28</t>
        </is>
      </c>
      <c r="F55" s="7" t="inlineStr">
        <is>
          <t>1 month ago</t>
        </is>
      </c>
      <c r="G55" s="7" t="inlineStr">
        <is>
          <t>searched, not cited in a cell</t>
        </is>
      </c>
    </row>
    <row r="56">
      <c r="B56" s="6" t="inlineStr">
        <is>
          <t>S51</t>
        </is>
      </c>
      <c r="C56" s="6" t="inlineStr">
        <is>
          <t>Fervo-Google geothermal deal underscores baseload power scarcity, analysts say | Utility Dive</t>
        </is>
      </c>
      <c r="D56" s="6" t="inlineStr">
        <is>
          <t>https://www.utilitydive.com/news/analysts-say-fervo-google-geothermal-deal-underscores-baseload-power-scarci/829419/</t>
        </is>
      </c>
      <c r="E56" s="6" t="inlineStr">
        <is>
          <t>2026-09-28</t>
        </is>
      </c>
      <c r="F56" s="6" t="inlineStr">
        <is>
          <t>1 month ago</t>
        </is>
      </c>
      <c r="G56" s="6" t="inlineStr">
        <is>
          <t>searched, not cited in a cell</t>
        </is>
      </c>
    </row>
    <row r="57">
      <c r="B57" s="7" t="inlineStr">
        <is>
          <t>S52</t>
        </is>
      </c>
      <c r="C57" s="7" t="inlineStr">
        <is>
          <t>Fervo Energy Geothermal 2026, 400 MW Cape Station PPA - EnkiAI</t>
        </is>
      </c>
      <c r="D57" s="7" t="inlineStr">
        <is>
          <t>https://enkiai.com/geothermal/fervo-energy-data-center-ppa/</t>
        </is>
      </c>
      <c r="E57" s="7" t="inlineStr">
        <is>
          <t>2026-09-28</t>
        </is>
      </c>
      <c r="F57" s="7" t="inlineStr">
        <is>
          <t>June 13, 2026</t>
        </is>
      </c>
      <c r="G57" s="7" t="inlineStr">
        <is>
          <t>'Fundamentals'!B22:F22; 'Fundamentals'!B23:F23; 'Fundamentals'!B25:F25; 'Fundamentals'!B29; 'Capital'!B21:H21; 'Capital'!B22:H22; 'Capital'!B25; 'Incumbents'!B15:H15; 'Incumbents'!B16</t>
        </is>
      </c>
    </row>
    <row r="58">
      <c r="B58" s="6" t="inlineStr">
        <is>
          <t>S53</t>
        </is>
      </c>
      <c r="C58" s="6" t="inlineStr">
        <is>
          <t>Fervo Energy Raises $462 Million Series E to Accelerate Geothermal Development and Meet Surging Energy Demand with Clean, Firm Power - Fervo Energy</t>
        </is>
      </c>
      <c r="D58" s="6" t="inlineStr">
        <is>
          <t>https://fervoenergy.com/fervo-energy-raises-462-million-series-e-to-accelerate-geothermal-development-and-meet-surging-energy-demand-with-clean-firm-power/</t>
        </is>
      </c>
      <c r="E58" s="6" t="inlineStr">
        <is>
          <t>2026-09-28</t>
        </is>
      </c>
      <c r="F58" s="6" t="inlineStr">
        <is>
          <t>April 17, 2026</t>
        </is>
      </c>
      <c r="G58" s="6" t="inlineStr">
        <is>
          <t>'Fundamentals'!B24:F24; 'Fundamentals'!B25:F25; 'Fundamentals'!B29; 'Capital'!B20:H20; 'Capital'!B25; 'Incumbents'!B15:H15; 'Incumbents'!B16</t>
        </is>
      </c>
    </row>
    <row r="59">
      <c r="B59" s="7" t="inlineStr">
        <is>
          <t>S54</t>
        </is>
      </c>
      <c r="C59" s="7" t="inlineStr">
        <is>
          <t>Fervo Energy and Google Sign 396 MW PPA - Fervo Energy</t>
        </is>
      </c>
      <c r="D59" s="7" t="inlineStr">
        <is>
          <t>https://fervoenergy.com/fervo-energy-and-google-sign-396-mw-ppa/</t>
        </is>
      </c>
      <c r="E59" s="7" t="inlineStr">
        <is>
          <t>2026-09-28</t>
        </is>
      </c>
      <c r="F59" s="7" t="inlineStr">
        <is>
          <t>1 month ago</t>
        </is>
      </c>
      <c r="G59" s="7" t="inlineStr">
        <is>
          <t>'Scope'!B14:C14; 'Scope'!B15; 'Fundamentals'!B26:F26; 'Fundamentals'!B29; 'Incumbents'!B13:H13; 'Incumbents'!B14:H14; 'Incumbents'!B15:H15; 'Incumbents'!B16</t>
        </is>
      </c>
    </row>
    <row r="60">
      <c r="B60" s="6" t="inlineStr">
        <is>
          <t>S55</t>
        </is>
      </c>
      <c r="C60" s="6" t="inlineStr">
        <is>
          <t>FinancialContent - Fervo Energy and Google Sign 396 MW PPA</t>
        </is>
      </c>
      <c r="D60" s="6" t="inlineStr">
        <is>
          <t>https://markets.financialcontent.com/stocks/article/gnwcq-2026-9-1-fervo-energy-and-google-sign-396-mw-ppa</t>
        </is>
      </c>
      <c r="E60" s="6" t="inlineStr">
        <is>
          <t>2026-09-28</t>
        </is>
      </c>
      <c r="F60" s="6" t="inlineStr">
        <is>
          <t>1 month ago</t>
        </is>
      </c>
      <c r="G60" s="6" t="inlineStr">
        <is>
          <t>searched, not cited in a cell</t>
        </is>
      </c>
    </row>
    <row r="61">
      <c r="B61" s="7" t="inlineStr">
        <is>
          <t>S56</t>
        </is>
      </c>
      <c r="C61" s="7" t="inlineStr">
        <is>
          <t>centaurus capital</t>
        </is>
      </c>
      <c r="D61" s="7" t="inlineStr">
        <is>
          <t>https://www.cbinsights.com/investor/centaurus-capital</t>
        </is>
      </c>
      <c r="E61" s="7" t="inlineStr">
        <is>
          <t>2026-09-28</t>
        </is>
      </c>
      <c r="F61" s="7" t="inlineStr"/>
      <c r="G61" s="7" t="inlineStr">
        <is>
          <t>searched, not cited in a cell</t>
        </is>
      </c>
    </row>
    <row r="62">
      <c r="B62" s="6" t="inlineStr">
        <is>
          <t>S57</t>
        </is>
      </c>
      <c r="C62" s="6" t="inlineStr">
        <is>
          <t>Geothermal Energy Developer Fervo Raises $1.89 Billion in US IPO - Bloomberg</t>
        </is>
      </c>
      <c r="D62" s="6" t="inlineStr">
        <is>
          <t>https://www.bloomberg.com/news/articles/2026-05-12/geothermal-energy-developer-fervo-raises-1-89-billion-in-us-ipo</t>
        </is>
      </c>
      <c r="E62" s="6" t="inlineStr">
        <is>
          <t>2026-09-28</t>
        </is>
      </c>
      <c r="F62" s="6" t="inlineStr">
        <is>
          <t>May 12, 2026</t>
        </is>
      </c>
      <c r="G62" s="6" t="inlineStr">
        <is>
          <t>'Capital'!B22:H22; 'Capital'!B25</t>
        </is>
      </c>
    </row>
    <row r="63">
      <c r="B63" s="7" t="inlineStr">
        <is>
          <t>S58</t>
        </is>
      </c>
      <c r="C63" s="7" t="inlineStr">
        <is>
          <t>Geothermal: Next AI Power Trade? - The Pareto Investor</t>
        </is>
      </c>
      <c r="D63" s="7" t="inlineStr">
        <is>
          <t>https://paretoinvestor.substack.com/p/geothermal-ai-power-trade-2026</t>
        </is>
      </c>
      <c r="E63" s="7" t="inlineStr">
        <is>
          <t>2026-09-28</t>
        </is>
      </c>
      <c r="F63" s="7" t="inlineStr">
        <is>
          <t>3 weeks ago</t>
        </is>
      </c>
      <c r="G63" s="7" t="inlineStr">
        <is>
          <t>searched, not cited in a cell</t>
        </is>
      </c>
    </row>
    <row r="64">
      <c r="B64" s="6" t="inlineStr">
        <is>
          <t>S59</t>
        </is>
      </c>
      <c r="C64" s="6" t="inlineStr">
        <is>
          <t>Google Just Locked Up the Largest Geothermal Power Deal Ever Made. | The Motley Fool</t>
        </is>
      </c>
      <c r="D64" s="6" t="inlineStr">
        <is>
          <t>https://www.fool.com/investing/2026/09/01/google-just-locked-up-the-largest-geothermal-power-deal-ever-made/</t>
        </is>
      </c>
      <c r="E64" s="6" t="inlineStr">
        <is>
          <t>2026-09-28</t>
        </is>
      </c>
      <c r="F64" s="6" t="inlineStr">
        <is>
          <t>1 month ago</t>
        </is>
      </c>
      <c r="G64" s="6" t="inlineStr">
        <is>
          <t>searched, not cited in a cell</t>
        </is>
      </c>
    </row>
    <row r="65">
      <c r="B65" s="7" t="inlineStr">
        <is>
          <t>S60</t>
        </is>
      </c>
      <c r="C65" s="7" t="inlineStr">
        <is>
          <t>Watch The Energy Source Hiding Beneath Your Feet - Bloomberg</t>
        </is>
      </c>
      <c r="D65" s="7" t="inlineStr">
        <is>
          <t>https://www.bloomberg.com/news/videos/2026-05-03/the-energy-source-hiding-beneath-your-feet-video</t>
        </is>
      </c>
      <c r="E65" s="7" t="inlineStr">
        <is>
          <t>2026-09-28</t>
        </is>
      </c>
      <c r="F65" s="7" t="inlineStr">
        <is>
          <t>May 2, 2026</t>
        </is>
      </c>
      <c r="G65" s="7" t="inlineStr">
        <is>
          <t>searched, not cited in a cell</t>
        </is>
      </c>
    </row>
    <row r="66">
      <c r="B66" s="6" t="inlineStr">
        <is>
          <t>S61</t>
        </is>
      </c>
      <c r="C66" s="6" t="inlineStr">
        <is>
          <t>Enhanced geothermal notches another win as Google buys 400 MW from Fervo | TechCrunch</t>
        </is>
      </c>
      <c r="D66" s="6" t="inlineStr">
        <is>
          <t>https://techcrunch.com/2026/09/02/enhanced-geothermal-notches-another-win-as-google-buys-400-mw-from-fervo/</t>
        </is>
      </c>
      <c r="E66" s="6" t="inlineStr">
        <is>
          <t>2026-09-28</t>
        </is>
      </c>
      <c r="F66" s="6" t="inlineStr">
        <is>
          <t>4 weeks ago</t>
        </is>
      </c>
      <c r="G66" s="6" t="inlineStr">
        <is>
          <t>'Incumbents'!B13:H13; 'Incumbents'!B15:H15; 'Incumbents'!B16</t>
        </is>
      </c>
    </row>
    <row r="67">
      <c r="B67" s="7" t="inlineStr">
        <is>
          <t>S62</t>
        </is>
      </c>
      <c r="C67" s="7" t="inlineStr">
        <is>
          <t>Fervo Shares Surge on Geothermal Power Deal With Google</t>
        </is>
      </c>
      <c r="D67" s="7" t="inlineStr">
        <is>
          <t>https://www.energyconnects.com/news/renewables/2026/september/fervo-shares-surge-on-geothermal-power-deal-with-google/</t>
        </is>
      </c>
      <c r="E67" s="7" t="inlineStr">
        <is>
          <t>2026-09-28</t>
        </is>
      </c>
      <c r="F67" s="7" t="inlineStr">
        <is>
          <t>1 month ago</t>
        </is>
      </c>
      <c r="G67" s="7" t="inlineStr">
        <is>
          <t>'Incumbents'!B14:H14; 'Incumbents'!B15:H15; 'Incumbents'!B16</t>
        </is>
      </c>
    </row>
    <row r="68">
      <c r="B68" s="6" t="inlineStr">
        <is>
          <t>S63</t>
        </is>
      </c>
      <c r="C68" s="6" t="inlineStr">
        <is>
          <t>Google Just Signed the Largest Geothermal Power Deal Ever—and You Can Guess Why</t>
        </is>
      </c>
      <c r="D68" s="6" t="inlineStr">
        <is>
          <t>https://gizmodo.com/google-just-signed-the-largest-geothermal-power-deal-ever-and-you-can-guess-why-2000809397</t>
        </is>
      </c>
      <c r="E68" s="6" t="inlineStr">
        <is>
          <t>2026-09-28</t>
        </is>
      </c>
      <c r="F68" s="6" t="inlineStr">
        <is>
          <t>2 weeks ago</t>
        </is>
      </c>
      <c r="G68" s="6" t="inlineStr">
        <is>
          <t>searched, not cited in a cell</t>
        </is>
      </c>
    </row>
    <row r="69">
      <c r="B69" s="7" t="inlineStr">
        <is>
          <t>S64</t>
        </is>
      </c>
      <c r="C69" s="7" t="inlineStr">
        <is>
          <t>www.businesswire.com</t>
        </is>
      </c>
      <c r="D69" s="7" t="inlineStr">
        <is>
          <t>https://www.businesswire.com/news/home/20250415938962/en</t>
        </is>
      </c>
      <c r="E69" s="7" t="inlineStr">
        <is>
          <t>2026-09-28</t>
        </is>
      </c>
      <c r="F69" s="7" t="inlineStr"/>
      <c r="G69" s="7" t="inlineStr">
        <is>
          <t>searched, not cited in a cell</t>
        </is>
      </c>
    </row>
    <row r="70">
      <c r="B70" s="6" t="inlineStr">
        <is>
          <t>S65</t>
        </is>
      </c>
      <c r="C70" s="6" t="inlineStr">
        <is>
          <t>New Energy</t>
        </is>
      </c>
      <c r="D70" s="6" t="inlineStr">
        <is>
          <t>https://www.bloomberg.com/news/articles/2024-06-25/southern-california-edison-inks-geothermal-power-deal-with-fervo</t>
        </is>
      </c>
      <c r="E70" s="6" t="inlineStr">
        <is>
          <t>2026-09-28</t>
        </is>
      </c>
      <c r="F70" s="6" t="inlineStr"/>
      <c r="G70" s="6" t="inlineStr">
        <is>
          <t>searched, not cited in a cell</t>
        </is>
      </c>
    </row>
    <row r="71">
      <c r="B71" s="7" t="inlineStr">
        <is>
          <t>S66</t>
        </is>
      </c>
      <c r="C71" s="7" t="inlineStr">
        <is>
          <t>Big companies bring their attention and wallets to geothermal project in Utah</t>
        </is>
      </c>
      <c r="D71" s="7" t="inlineStr">
        <is>
          <t>https://finance.yahoo.com/news/big-companies-bring-attention-wallets-130258675.html</t>
        </is>
      </c>
      <c r="E71" s="7" t="inlineStr">
        <is>
          <t>2026-09-28</t>
        </is>
      </c>
      <c r="F71" s="7" t="inlineStr"/>
      <c r="G71" s="7" t="inlineStr">
        <is>
          <t>searched, not cited in a cell</t>
        </is>
      </c>
    </row>
    <row r="72">
      <c r="B72" s="6" t="inlineStr">
        <is>
          <t>S67</t>
        </is>
      </c>
      <c r="C72" s="6" t="inlineStr">
        <is>
          <t>O’Melveny Advises Zanskar on US$30 Million Series B Funding Round - O'Melveny</t>
        </is>
      </c>
      <c r="D72" s="6" t="inlineStr">
        <is>
          <t>https://www.omm.com/news/press-releases/o-melveny-advises-zanskar-on-us-30-million-series-b-funding-round/</t>
        </is>
      </c>
      <c r="E72" s="6" t="inlineStr">
        <is>
          <t>2026-09-28</t>
        </is>
      </c>
      <c r="F72" s="6" t="inlineStr">
        <is>
          <t>May 7, 2024</t>
        </is>
      </c>
      <c r="G72" s="6" t="inlineStr">
        <is>
          <t>'Fundamentals'!B20:F20; 'Fundamentals'!B21:F21; 'Fundamentals'!B29; 'Trends'!B126:E126; 'Trends'!B127:E127; 'Trends'!B128:E128; 'Trends'!B129:E129; 'Trends'!B130; 'Landscape'!B7:J7; 'Landscape'!B14; 'Capital'!B8:H8; 'Capital'!B25</t>
        </is>
      </c>
    </row>
    <row r="73">
      <c r="B73" s="7" t="inlineStr">
        <is>
          <t>S68</t>
        </is>
      </c>
      <c r="C73" s="7" t="inlineStr">
        <is>
          <t>Zanskar snags $30 million for AI-based geothermal energy exploration - ImpactAlpha</t>
        </is>
      </c>
      <c r="D73" s="7" t="inlineStr">
        <is>
          <t>https://impactalpha.com/zanskar-snags-30-million-for-ai-based-geothermal-energy-exploration/</t>
        </is>
      </c>
      <c r="E73" s="7" t="inlineStr">
        <is>
          <t>2026-09-28</t>
        </is>
      </c>
      <c r="F73" s="7" t="inlineStr">
        <is>
          <t>May 8, 2024</t>
        </is>
      </c>
      <c r="G73" s="7" t="inlineStr">
        <is>
          <t>searched, not cited in a cell</t>
        </is>
      </c>
    </row>
    <row r="74">
      <c r="B74" s="6" t="inlineStr">
        <is>
          <t>S69</t>
        </is>
      </c>
      <c r="C74" s="6" t="inlineStr">
        <is>
          <t>Zanskar Raises $30 Million to Accelerate Discovery of Geothermal Energy</t>
        </is>
      </c>
      <c r="D74" s="6" t="inlineStr">
        <is>
          <t>https://www.renewableenergymagazine.com/geothermal/zanskar-raises-30-million-to-accelerate-discovery-20240509</t>
        </is>
      </c>
      <c r="E74" s="6" t="inlineStr">
        <is>
          <t>2026-09-28</t>
        </is>
      </c>
      <c r="F74" s="6" t="inlineStr">
        <is>
          <t>May 28, 2024</t>
        </is>
      </c>
      <c r="G74" s="6" t="inlineStr">
        <is>
          <t>'Landscape'!B7:J7; 'Landscape'!B14</t>
        </is>
      </c>
    </row>
    <row r="75">
      <c r="B75" s="7" t="inlineStr">
        <is>
          <t>S70</t>
        </is>
      </c>
      <c r="C75" s="7" t="inlineStr">
        <is>
          <t>Series B - Zanskar - Crunchbase Funding Round Profile</t>
        </is>
      </c>
      <c r="D75" s="7" t="inlineStr">
        <is>
          <t>https://www.crunchbase.com/funding_round/zanskar-series-b--49241e5a</t>
        </is>
      </c>
      <c r="E75" s="7" t="inlineStr">
        <is>
          <t>2026-09-28</t>
        </is>
      </c>
      <c r="F75" s="7" t="inlineStr"/>
      <c r="G75" s="7" t="inlineStr">
        <is>
          <t>searched, not cited in a cell</t>
        </is>
      </c>
    </row>
    <row r="76">
      <c r="B76" s="6" t="inlineStr">
        <is>
          <t>S71</t>
        </is>
      </c>
      <c r="C76" s="6" t="inlineStr">
        <is>
          <t>Zanskar thinks 1 TW of geothermal power is being overlooked | TechCrunch</t>
        </is>
      </c>
      <c r="D76" s="6" t="inlineStr">
        <is>
          <t>https://techcrunch.com/2026/01/21/zanskar-thinks-1-tw-of-geothermal-power-is-being-overlooked/</t>
        </is>
      </c>
      <c r="E76" s="6" t="inlineStr">
        <is>
          <t>2026-09-28</t>
        </is>
      </c>
      <c r="F76" s="6" t="inlineStr">
        <is>
          <t>January 21, 2026</t>
        </is>
      </c>
      <c r="G76" s="6" t="inlineStr">
        <is>
          <t>searched, not cited in a cell</t>
        </is>
      </c>
    </row>
    <row r="77">
      <c r="B77" s="7" t="inlineStr">
        <is>
          <t>S72</t>
        </is>
      </c>
      <c r="C77" s="7" t="inlineStr">
        <is>
          <t>Geothermal Energy Company Zanskar Raises $115M ...</t>
        </is>
      </c>
      <c r="D77" s="7" t="inlineStr">
        <is>
          <t>https://builtin.com/articles/zanskar-raises-115m-series-c-20260122</t>
        </is>
      </c>
      <c r="E77" s="7" t="inlineStr">
        <is>
          <t>2026-09-28</t>
        </is>
      </c>
      <c r="F77" s="7" t="inlineStr">
        <is>
          <t>January 22, 2026</t>
        </is>
      </c>
      <c r="G77" s="7" t="inlineStr">
        <is>
          <t>searched, not cited in a cell</t>
        </is>
      </c>
    </row>
    <row r="78">
      <c r="B78" s="6" t="inlineStr">
        <is>
          <t>S73</t>
        </is>
      </c>
      <c r="C78" s="6" t="inlineStr">
        <is>
          <t>Zanskar Closes $40M in Novel Development Capital Financing, structured to scale to $100M</t>
        </is>
      </c>
      <c r="D78" s="6" t="inlineStr">
        <is>
          <t>https://www.globenewswire.com/news-release/2026/04/16/3275225/0/en/zanskar-closes-40m-in-novel-development-capital-financing-structured-to-scale-to-100m.html</t>
        </is>
      </c>
      <c r="E78" s="6" t="inlineStr">
        <is>
          <t>2026-09-28</t>
        </is>
      </c>
      <c r="F78" s="6" t="inlineStr">
        <is>
          <t>April 16, 2026</t>
        </is>
      </c>
      <c r="G78" s="6" t="inlineStr">
        <is>
          <t>'Trends'!B126:E126; 'Trends'!B127:E127; 'Trends'!B128:E128; 'Trends'!B129:E129; 'Trends'!B130; 'Landscape'!B7:J7; 'Landscape'!B14; 'Capital'!B15:H15; 'Capital'!B25</t>
        </is>
      </c>
    </row>
    <row r="79">
      <c r="B79" s="7" t="inlineStr">
        <is>
          <t>S74</t>
        </is>
      </c>
      <c r="C79" s="7" t="inlineStr">
        <is>
          <t>How to Improve Geothermal Resource Mapping Accuracy</t>
        </is>
      </c>
      <c r="D79" s="7" t="inlineStr">
        <is>
          <t>https://eureka.patsnap.com/report-how-to-improve-geothermal-resource-mapping-accuracy</t>
        </is>
      </c>
      <c r="E79" s="7" t="inlineStr">
        <is>
          <t>2026-09-28</t>
        </is>
      </c>
      <c r="F79" s="7" t="inlineStr">
        <is>
          <t>March 6, 2026</t>
        </is>
      </c>
      <c r="G79" s="7" t="inlineStr">
        <is>
          <t>searched, not cited in a cell</t>
        </is>
      </c>
    </row>
    <row r="80">
      <c r="B80" s="6" t="inlineStr">
        <is>
          <t>S75</t>
        </is>
      </c>
      <c r="C80" s="6" t="inlineStr">
        <is>
          <t>From subsurface data to heat economics: A novel machine-learning seismic workflow for geothermal reservoir delineation, subsurface derisking, and 3D m</t>
        </is>
      </c>
      <c r="D80" s="6" t="inlineStr">
        <is>
          <t>https://www.sciencedirect.com/science/article/pii/S2590123026013770</t>
        </is>
      </c>
      <c r="E80" s="6" t="inlineStr">
        <is>
          <t>2026-09-28</t>
        </is>
      </c>
      <c r="F80" s="6" t="inlineStr">
        <is>
          <t>April 1, 2026</t>
        </is>
      </c>
      <c r="G80" s="6" t="inlineStr">
        <is>
          <t>searched, not cited in a cell</t>
        </is>
      </c>
    </row>
    <row r="81">
      <c r="B81" s="7" t="inlineStr">
        <is>
          <t>S76</t>
        </is>
      </c>
      <c r="C81" s="7" t="inlineStr">
        <is>
          <t>Artificial Intelligence in Deep Geothermal Energy: Trends, Insights, and Future Perspectives - ScienceDirect</t>
        </is>
      </c>
      <c r="D81" s="7" t="inlineStr">
        <is>
          <t>https://www.sciencedirect.com/science/article/pii/S1755008425001036</t>
        </is>
      </c>
      <c r="E81" s="7" t="inlineStr">
        <is>
          <t>2026-09-28</t>
        </is>
      </c>
      <c r="F81" s="7" t="inlineStr">
        <is>
          <t>November 4, 2025</t>
        </is>
      </c>
      <c r="G81" s="7" t="inlineStr">
        <is>
          <t>searched, not cited in a cell</t>
        </is>
      </c>
    </row>
    <row r="82">
      <c r="B82" s="6" t="inlineStr">
        <is>
          <t>S77</t>
        </is>
      </c>
      <c r="C82" s="6" t="inlineStr">
        <is>
          <t>Geothermal Data Repository (GDR)</t>
        </is>
      </c>
      <c r="D82" s="6" t="inlineStr">
        <is>
          <t>https://gdr.openei.org/search?q=subsurface</t>
        </is>
      </c>
      <c r="E82" s="6" t="inlineStr">
        <is>
          <t>2026-09-28</t>
        </is>
      </c>
      <c r="F82" s="6" t="inlineStr"/>
      <c r="G82" s="6" t="inlineStr">
        <is>
          <t>searched, not cited in a cell</t>
        </is>
      </c>
    </row>
    <row r="83">
      <c r="B83" s="7" t="inlineStr">
        <is>
          <t>S78</t>
        </is>
      </c>
      <c r="C83" s="7" t="inlineStr">
        <is>
          <t>Discovering geothermal supercritical fluids: a new frontier for seismic exploration</t>
        </is>
      </c>
      <c r="D83" s="7" t="inlineStr">
        <is>
          <t>https://www.ncbi.nlm.nih.gov/pmc/articles/PMC5674042/</t>
        </is>
      </c>
      <c r="E83" s="7" t="inlineStr">
        <is>
          <t>2026-09-28</t>
        </is>
      </c>
      <c r="F83" s="7" t="inlineStr"/>
      <c r="G83" s="7" t="inlineStr">
        <is>
          <t>searched, not cited in a cell</t>
        </is>
      </c>
    </row>
    <row r="84">
      <c r="B84" s="6" t="inlineStr">
        <is>
          <t>S79</t>
        </is>
      </c>
      <c r="C84" s="6" t="inlineStr">
        <is>
          <t>Geophysical Imaging of the Subsurface – Deep Geothermal Heat Research</t>
        </is>
      </c>
      <c r="D84" s="6" t="inlineStr">
        <is>
          <t>https://deepgeothermalheat.engineering.cornell.edu/research/risk-mitigation-analysis/geophysical-analysis/</t>
        </is>
      </c>
      <c r="E84" s="6" t="inlineStr">
        <is>
          <t>2026-09-28</t>
        </is>
      </c>
      <c r="F84" s="6" t="inlineStr"/>
      <c r="G84" s="6" t="inlineStr">
        <is>
          <t>searched, not cited in a cell</t>
        </is>
      </c>
    </row>
    <row r="85">
      <c r="B85" s="7" t="inlineStr">
        <is>
          <t>S80</t>
        </is>
      </c>
      <c r="C85" s="7" t="inlineStr">
        <is>
          <t>Sage Geosystems Raises $17 Million in Series A, Announces World’s First Commercial Geopressured Geothermal System (GGS) Facility | Nasdaq</t>
        </is>
      </c>
      <c r="D85" s="7" t="inlineStr">
        <is>
          <t>https://www.nasdaq.com/press-release/sage-geosystems-raises-$17-million-in-series-a-announces-worlds-first-commercial</t>
        </is>
      </c>
      <c r="E85" s="7" t="inlineStr">
        <is>
          <t>2026-09-28</t>
        </is>
      </c>
      <c r="F85" s="7" t="inlineStr"/>
      <c r="G85" s="7" t="inlineStr">
        <is>
          <t>'Landscape'!B9:J9; 'Landscape'!B14; 'Capital'!B7:H7; 'Capital'!B25</t>
        </is>
      </c>
    </row>
    <row r="86">
      <c r="B86" s="6" t="inlineStr">
        <is>
          <t>S81</t>
        </is>
      </c>
      <c r="C86" s="6" t="inlineStr">
        <is>
          <t>Clean Energy Startup Sage Geosystems Raises $17 Million for New Geothermal Energy Storage Plant - ESG Today</t>
        </is>
      </c>
      <c r="D86" s="6" t="inlineStr">
        <is>
          <t>https://www.esgtoday.com/geothermal-tech-startup-sage-geosystems-raises-17-million-for-energy-storage-solution/</t>
        </is>
      </c>
      <c r="E86" s="6" t="inlineStr">
        <is>
          <t>2026-09-28</t>
        </is>
      </c>
      <c r="F86" s="6" t="inlineStr">
        <is>
          <t>February 19, 2024</t>
        </is>
      </c>
      <c r="G86" s="6" t="inlineStr">
        <is>
          <t>'Landscape'!B9:J9; 'Landscape'!B14</t>
        </is>
      </c>
    </row>
    <row r="87">
      <c r="B87" s="7" t="inlineStr">
        <is>
          <t>S82</t>
        </is>
      </c>
      <c r="C87" s="7" t="inlineStr">
        <is>
          <t>SAGE Geosystems: Funding, Team &amp; Investors | Startup Intros</t>
        </is>
      </c>
      <c r="D87" s="7" t="inlineStr">
        <is>
          <t>https://startupintros.com/orgs/sage-geosystems</t>
        </is>
      </c>
      <c r="E87" s="7" t="inlineStr">
        <is>
          <t>2026-09-28</t>
        </is>
      </c>
      <c r="F87" s="7" t="inlineStr">
        <is>
          <t>July 13, 2026</t>
        </is>
      </c>
      <c r="G87" s="7" t="inlineStr">
        <is>
          <t>'Landscape'!B9:J9; 'Landscape'!B14; 'Capital'!B16:H16; 'Capital'!B25</t>
        </is>
      </c>
    </row>
    <row r="88">
      <c r="B88" s="6" t="inlineStr">
        <is>
          <t>S83</t>
        </is>
      </c>
      <c r="C88" s="6" t="inlineStr">
        <is>
          <t>Sage Geosystems secures $17M series A led by Chesapeake Energy - InnovationMap</t>
        </is>
      </c>
      <c r="D88" s="6" t="inlineStr">
        <is>
          <t>https://houston.innovationmap.com/sage-geosystems-17m-series-a-chesapeake-energy-2667298823.html</t>
        </is>
      </c>
      <c r="E88" s="6" t="inlineStr">
        <is>
          <t>2026-09-28</t>
        </is>
      </c>
      <c r="F88" s="6" t="inlineStr">
        <is>
          <t>February 16, 2024</t>
        </is>
      </c>
      <c r="G88" s="6" t="inlineStr">
        <is>
          <t>searched, not cited in a cell</t>
        </is>
      </c>
    </row>
    <row r="89">
      <c r="B89" s="7" t="inlineStr">
        <is>
          <t>S84</t>
        </is>
      </c>
      <c r="C89" s="7" t="inlineStr">
        <is>
          <t>Sage Geosystems company information, funding &amp; investors | Dealroom.co</t>
        </is>
      </c>
      <c r="D89" s="7" t="inlineStr">
        <is>
          <t>https://app.dealroom.co/companies/sage_geosystems_</t>
        </is>
      </c>
      <c r="E89" s="7" t="inlineStr">
        <is>
          <t>2026-09-28</t>
        </is>
      </c>
      <c r="F89" s="7" t="inlineStr">
        <is>
          <t>February 1, 2024</t>
        </is>
      </c>
      <c r="G89" s="7" t="inlineStr">
        <is>
          <t>searched, not cited in a cell</t>
        </is>
      </c>
    </row>
    <row r="90">
      <c r="B90" s="6" t="inlineStr">
        <is>
          <t>S85</t>
        </is>
      </c>
      <c r="C90" s="6" t="inlineStr">
        <is>
          <t>Sage Geosystems 2026 Company Profile: Valuation, Funding &amp; Investors | PitchBook</t>
        </is>
      </c>
      <c r="D90" s="6" t="inlineStr">
        <is>
          <t>https://pitchbook.com/profiles/company/442547-02</t>
        </is>
      </c>
      <c r="E90" s="6" t="inlineStr">
        <is>
          <t>2026-09-28</t>
        </is>
      </c>
      <c r="F90" s="6" t="inlineStr"/>
      <c r="G90" s="6" t="inlineStr">
        <is>
          <t>searched, not cited in a cell</t>
        </is>
      </c>
    </row>
    <row r="91">
      <c r="B91" s="7" t="inlineStr">
        <is>
          <t>S86</t>
        </is>
      </c>
      <c r="C91" s="7" t="inlineStr">
        <is>
          <t>Sage Geosystems Raises $17M in Series A - Geothermal Energy</t>
        </is>
      </c>
      <c r="D91" s="7" t="inlineStr">
        <is>
          <t>https://www.gulfoilandgas.com/webpro1/main/mainnews.asp?id=996631</t>
        </is>
      </c>
      <c r="E91" s="7" t="inlineStr">
        <is>
          <t>2026-09-28</t>
        </is>
      </c>
      <c r="F91" s="7" t="inlineStr"/>
      <c r="G91" s="7" t="inlineStr">
        <is>
          <t>searched, not cited in a cell</t>
        </is>
      </c>
    </row>
    <row r="92">
      <c r="B92" s="6" t="inlineStr">
        <is>
          <t>S87</t>
        </is>
      </c>
      <c r="C92" s="6" t="inlineStr">
        <is>
          <t>PRESS RELEASE: Sage Geosystems Raises $17 Million in Series A, Announces World’s First Commercial Geopressured Geothermal System (GGS) Facility - Sage</t>
        </is>
      </c>
      <c r="D92" s="6" t="inlineStr">
        <is>
          <t>https://sagegeo.com/sage-geosystems-raises-17-million-in-series-a-announces-worlds-first-commercial-geopressured-geothermal-system-ggs-facility/</t>
        </is>
      </c>
      <c r="E92" s="6" t="inlineStr">
        <is>
          <t>2026-09-28</t>
        </is>
      </c>
      <c r="F92" s="6" t="inlineStr">
        <is>
          <t>October 24, 2024</t>
        </is>
      </c>
      <c r="G92" s="6" t="inlineStr">
        <is>
          <t>searched, not cited in a cell</t>
        </is>
      </c>
    </row>
    <row r="93">
      <c r="B93" s="7" t="inlineStr">
        <is>
          <t>S88</t>
        </is>
      </c>
      <c r="C93" s="7" t="inlineStr">
        <is>
          <t>Who Owns Sage Geosystems Company? – businessmodelcanvastemplate.com</t>
        </is>
      </c>
      <c r="D93" s="7" t="inlineStr">
        <is>
          <t>https://businessmodelcanvastemplate.com/blogs/owners/sage-geosystems-who-owns</t>
        </is>
      </c>
      <c r="E93" s="7" t="inlineStr">
        <is>
          <t>2026-09-28</t>
        </is>
      </c>
      <c r="F93" s="7" t="inlineStr">
        <is>
          <t>July 12, 2025</t>
        </is>
      </c>
      <c r="G93" s="7" t="inlineStr">
        <is>
          <t>'Landscape'!B9:J9; 'Landscape'!B14</t>
        </is>
      </c>
    </row>
    <row r="94">
      <c r="B94" s="6" t="inlineStr">
        <is>
          <t>S89</t>
        </is>
      </c>
      <c r="C94" s="6" t="inlineStr">
        <is>
          <t>Inside Bedrock Energy’s Plan to Deliver Affordable Geothermal Solutions</t>
        </is>
      </c>
      <c r="D94" s="6" t="inlineStr">
        <is>
          <t>https://www.builderonline.com/building/inside-bedrock-energys-plan-to-deliver-affordable-geothermal-solutions_o</t>
        </is>
      </c>
      <c r="E94" s="6" t="inlineStr">
        <is>
          <t>2026-09-28</t>
        </is>
      </c>
      <c r="F94" s="6" t="inlineStr">
        <is>
          <t>May 17, 2025</t>
        </is>
      </c>
      <c r="G94" s="6" t="inlineStr">
        <is>
          <t>'Landscape'!B11:J11; 'Landscape'!B14; 'Capital'!B11:H11; 'Capital'!B25</t>
        </is>
      </c>
    </row>
    <row r="95">
      <c r="B95" s="7" t="inlineStr">
        <is>
          <t>S90</t>
        </is>
      </c>
      <c r="C95" s="7" t="inlineStr">
        <is>
          <t>Bedrock Energy Secures $12M to Expand Geothermal in the Mountain West | The Driller</t>
        </is>
      </c>
      <c r="D95" s="7" t="inlineStr">
        <is>
          <t>https://www.thedriller.com/articles/93291-bedrock-energy-secures-12m-to-expand-geothermal-in-the-mountain-west</t>
        </is>
      </c>
      <c r="E95" s="7" t="inlineStr">
        <is>
          <t>2026-09-28</t>
        </is>
      </c>
      <c r="F95" s="7" t="inlineStr">
        <is>
          <t>February 6, 2025</t>
        </is>
      </c>
      <c r="G95" s="7" t="inlineStr">
        <is>
          <t>'Landscape'!B11:J11; 'Landscape'!B14</t>
        </is>
      </c>
    </row>
    <row r="96">
      <c r="B96" s="6" t="inlineStr">
        <is>
          <t>S91</t>
        </is>
      </c>
      <c r="C96" s="6" t="inlineStr">
        <is>
          <t>Bedrock Energy secures $12m in funding to scale business</t>
        </is>
      </c>
      <c r="D96" s="6" t="inlineStr">
        <is>
          <t>https://www.thinkgeoenergy.com/bedrock-energy-secures-12m-in-funding-to-scale-business/</t>
        </is>
      </c>
      <c r="E96" s="6" t="inlineStr">
        <is>
          <t>2026-09-28</t>
        </is>
      </c>
      <c r="F96" s="6" t="inlineStr">
        <is>
          <t>January 22, 2025</t>
        </is>
      </c>
      <c r="G96" s="6" t="inlineStr">
        <is>
          <t>'Landscape'!B11:J11; 'Landscape'!B14</t>
        </is>
      </c>
    </row>
    <row r="97">
      <c r="B97" s="7" t="inlineStr">
        <is>
          <t>S92</t>
        </is>
      </c>
      <c r="C97" s="7" t="inlineStr">
        <is>
          <t>Geothermal Startup Bedrock Energy Secures $12M Series A Raise – Commercial Observer</t>
        </is>
      </c>
      <c r="D97" s="7" t="inlineStr">
        <is>
          <t>https://commercialobserver.com/2025/01/geothermal-startup-bedrock-energy-secures-12m-series-a-raise/</t>
        </is>
      </c>
      <c r="E97" s="7" t="inlineStr">
        <is>
          <t>2026-09-28</t>
        </is>
      </c>
      <c r="F97" s="7" t="inlineStr">
        <is>
          <t>January 21, 2025</t>
        </is>
      </c>
      <c r="G97" s="7" t="inlineStr">
        <is>
          <t>'Landscape'!B11:J11; 'Landscape'!B14</t>
        </is>
      </c>
    </row>
    <row r="98">
      <c r="B98" s="6" t="inlineStr">
        <is>
          <t>S93</t>
        </is>
      </c>
      <c r="C98" s="6" t="inlineStr">
        <is>
          <t>Geothermal Tech Startup Bedrock Raises $12 Million to Scale Carbon-Free HVAC for Buildings - ESG Today</t>
        </is>
      </c>
      <c r="D98" s="6" t="inlineStr">
        <is>
          <t>https://www.esgtoday.com/geothermal-tech-startup-bedrock-raises-12-million-to-scale-carbon-free-hvac-for-buildings/</t>
        </is>
      </c>
      <c r="E98" s="6" t="inlineStr">
        <is>
          <t>2026-09-28</t>
        </is>
      </c>
      <c r="F98" s="6" t="inlineStr">
        <is>
          <t>January 23, 2025</t>
        </is>
      </c>
      <c r="G98" s="6" t="inlineStr">
        <is>
          <t>'Landscape'!B11:J11; 'Landscape'!B14</t>
        </is>
      </c>
    </row>
    <row r="99">
      <c r="B99" s="7" t="inlineStr">
        <is>
          <t>S94</t>
        </is>
      </c>
      <c r="C99" s="7" t="inlineStr">
        <is>
          <t>Bedrock Energy - Crunchbase Company Profile &amp; Funding</t>
        </is>
      </c>
      <c r="D99" s="7" t="inlineStr">
        <is>
          <t>https://www.crunchbase.com/organization/bedrock-energy</t>
        </is>
      </c>
      <c r="E99" s="7" t="inlineStr">
        <is>
          <t>2026-09-28</t>
        </is>
      </c>
      <c r="F99" s="7" t="inlineStr"/>
      <c r="G99" s="7" t="inlineStr">
        <is>
          <t>searched, not cited in a cell</t>
        </is>
      </c>
    </row>
    <row r="100">
      <c r="B100" s="6" t="inlineStr">
        <is>
          <t>S95</t>
        </is>
      </c>
      <c r="C100" s="6" t="inlineStr">
        <is>
          <t>Bedrock Energy Raises $8.5M to Decarbonize Commercial Real Estate with</t>
        </is>
      </c>
      <c r="D100" s="6" t="inlineStr">
        <is>
          <t>https://decarbonfuse.com/posts/bedrock-energy-raises-8-5m-to-decarbonize-commercial-real-estate-with-geothermal-energy</t>
        </is>
      </c>
      <c r="E100" s="6" t="inlineStr">
        <is>
          <t>2026-09-28</t>
        </is>
      </c>
      <c r="F100" s="6" t="inlineStr"/>
      <c r="G100" s="6" t="inlineStr">
        <is>
          <t>'Landscape'!B11:J11; 'Landscape'!B14; 'Capital'!B10:H10; 'Capital'!B25</t>
        </is>
      </c>
    </row>
    <row r="101">
      <c r="B101" s="7" t="inlineStr">
        <is>
          <t>S96</t>
        </is>
      </c>
      <c r="C101" s="7" t="inlineStr">
        <is>
          <t>Bedrock Energy - Geothermal Heating and Cooling, Drilled Smarter</t>
        </is>
      </c>
      <c r="D101" s="7" t="inlineStr">
        <is>
          <t>https://yespress.io/bedrock-energy</t>
        </is>
      </c>
      <c r="E101" s="7" t="inlineStr">
        <is>
          <t>2026-09-28</t>
        </is>
      </c>
      <c r="F101" s="7" t="inlineStr">
        <is>
          <t>June 16, 2026</t>
        </is>
      </c>
      <c r="G101" s="7" t="inlineStr">
        <is>
          <t>searched, not cited in a cell</t>
        </is>
      </c>
    </row>
    <row r="102">
      <c r="B102" s="6" t="inlineStr">
        <is>
          <t>S97</t>
        </is>
      </c>
      <c r="C102" s="6" t="inlineStr">
        <is>
          <t>Total Raised</t>
        </is>
      </c>
      <c r="D102" s="6" t="inlineStr">
        <is>
          <t>https://www.cbinsights.com/company/geothermal-engineering/financials</t>
        </is>
      </c>
      <c r="E102" s="6" t="inlineStr">
        <is>
          <t>2026-09-28</t>
        </is>
      </c>
      <c r="F102" s="6" t="inlineStr"/>
      <c r="G102" s="6" t="inlineStr">
        <is>
          <t>searched, not cited in a cell</t>
        </is>
      </c>
    </row>
    <row r="103">
      <c r="B103" s="7" t="inlineStr">
        <is>
          <t>S98</t>
        </is>
      </c>
      <c r="C103" s="7" t="inlineStr">
        <is>
          <t>XGS Energy raises $20 million additional funding for next-generation geothermal</t>
        </is>
      </c>
      <c r="D103" s="7" t="inlineStr">
        <is>
          <t>https://www.thinkgeoenergy.com/xgs-energy-raises-20-million-additional-funding-for-next-generation-geothermal/</t>
        </is>
      </c>
      <c r="E103" s="7" t="inlineStr">
        <is>
          <t>2026-09-28</t>
        </is>
      </c>
      <c r="F103" s="7" t="inlineStr">
        <is>
          <t>May 22, 2024</t>
        </is>
      </c>
      <c r="G103" s="7" t="inlineStr">
        <is>
          <t>searched, not cited in a cell</t>
        </is>
      </c>
    </row>
    <row r="104">
      <c r="B104" s="6" t="inlineStr">
        <is>
          <t>S99</t>
        </is>
      </c>
      <c r="C104" s="6" t="inlineStr">
        <is>
          <t>Geothermal Innovator XGS Energy Completes Oversubscribed $20M Capital Raise</t>
        </is>
      </c>
      <c r="D104" s="6" t="inlineStr">
        <is>
          <t>https://www.businesswire.com/news/home/20240521546993/en/Geothermal-Innovator-XGS-Energy-Completes-Oversubscribed-$20M-Capital-Raise</t>
        </is>
      </c>
      <c r="E104" s="6" t="inlineStr">
        <is>
          <t>2026-09-28</t>
        </is>
      </c>
      <c r="F104" s="6" t="inlineStr">
        <is>
          <t>May 21, 2024</t>
        </is>
      </c>
      <c r="G104" s="6" t="inlineStr">
        <is>
          <t>'Landscape'!B10:J10; 'Landscape'!B14; 'Capital'!B9:H9; 'Capital'!B25</t>
        </is>
      </c>
    </row>
    <row r="105">
      <c r="B105" s="7" t="inlineStr">
        <is>
          <t>S100</t>
        </is>
      </c>
      <c r="C105" s="7" t="inlineStr">
        <is>
          <t>XGS Energy Raises $13 Million to Deploy Geothermal Energy Projects - ESG Today</t>
        </is>
      </c>
      <c r="D105" s="7" t="inlineStr">
        <is>
          <t>https://www.esgtoday.com/xgs-energy-raises-13-million-to-deploy-geothermal-energy-projects/</t>
        </is>
      </c>
      <c r="E105" s="7" t="inlineStr">
        <is>
          <t>2026-09-28</t>
        </is>
      </c>
      <c r="F105" s="7" t="inlineStr">
        <is>
          <t>April 1, 2025</t>
        </is>
      </c>
      <c r="G105" s="7" t="inlineStr">
        <is>
          <t>'Landscape'!B10:J10; 'Landscape'!B14; 'Capital'!B12:H12; 'Capital'!B25</t>
        </is>
      </c>
    </row>
    <row r="106">
      <c r="B106" s="6" t="inlineStr">
        <is>
          <t>S101</t>
        </is>
      </c>
      <c r="C106" s="6" t="inlineStr">
        <is>
          <t>XGS Energy: Funding, Team &amp; Investors | Startup Intros</t>
        </is>
      </c>
      <c r="D106" s="6" t="inlineStr">
        <is>
          <t>https://startupintros.com/orgs/xgs-energy</t>
        </is>
      </c>
      <c r="E106" s="6" t="inlineStr">
        <is>
          <t>2026-09-28</t>
        </is>
      </c>
      <c r="F106" s="6" t="inlineStr">
        <is>
          <t>July 13, 2026</t>
        </is>
      </c>
      <c r="G106" s="6" t="inlineStr">
        <is>
          <t>'Landscape'!B10:J10; 'Landscape'!B14</t>
        </is>
      </c>
    </row>
    <row r="107">
      <c r="B107" s="7" t="inlineStr">
        <is>
          <t>S102</t>
        </is>
      </c>
      <c r="C107" s="7" t="inlineStr">
        <is>
          <t>XGS Energy Secures Additional $13 Million to Accelerate Advanced Geothermal Deployment</t>
        </is>
      </c>
      <c r="D107" s="7" t="inlineStr">
        <is>
          <t>https://www.businesswire.com/news/home/20250326123552/en/XGS-Energy-Secures-Additional-$13-Million-to-Accelerate-Advanced-Geothermal-Deployment</t>
        </is>
      </c>
      <c r="E107" s="7" t="inlineStr">
        <is>
          <t>2026-09-28</t>
        </is>
      </c>
      <c r="F107" s="7" t="inlineStr">
        <is>
          <t>March 26, 2025</t>
        </is>
      </c>
      <c r="G107" s="7" t="inlineStr">
        <is>
          <t>searched, not cited in a cell</t>
        </is>
      </c>
    </row>
    <row r="108">
      <c r="B108" s="6" t="inlineStr">
        <is>
          <t>S103</t>
        </is>
      </c>
      <c r="C108" s="6" t="inlineStr">
        <is>
          <t>XGS – XGS Energy</t>
        </is>
      </c>
      <c r="D108" s="6" t="inlineStr">
        <is>
          <t>https://www.xgsenergy.com/author/sambglobal-com/</t>
        </is>
      </c>
      <c r="E108" s="6" t="inlineStr">
        <is>
          <t>2026-09-28</t>
        </is>
      </c>
      <c r="F108" s="6" t="inlineStr"/>
      <c r="G108" s="6" t="inlineStr">
        <is>
          <t>searched, not cited in a cell</t>
        </is>
      </c>
    </row>
    <row r="109">
      <c r="B109" s="7" t="inlineStr">
        <is>
          <t>S104</t>
        </is>
      </c>
      <c r="C109" s="7" t="inlineStr">
        <is>
          <t>XGS Energy Secures $19M in Financing and Adds Industry Leaders to Board of Directors to Advance Next-generation Geothermal Power – XGS Energy</t>
        </is>
      </c>
      <c r="D109" s="7" t="inlineStr">
        <is>
          <t>https://www.xgsenergy.com/xgs-energy-secures-19m-in-financing-and-adds-industry-leaders-to-board-of-directors-to-advance-next-generation-geothermal-power/</t>
        </is>
      </c>
      <c r="E109" s="7" t="inlineStr">
        <is>
          <t>2026-09-28</t>
        </is>
      </c>
      <c r="F109" s="7" t="inlineStr"/>
      <c r="G109" s="7" t="inlineStr">
        <is>
          <t>'Landscape'!B10:J10; 'Landscape'!B14</t>
        </is>
      </c>
    </row>
    <row r="110">
      <c r="B110" s="6" t="inlineStr">
        <is>
          <t>S105</t>
        </is>
      </c>
      <c r="C110" s="6" t="inlineStr">
        <is>
          <t>Geothermal Innovator XGS Energy Completes Oversubscribed $20M Capital Raise – XGS Energy</t>
        </is>
      </c>
      <c r="D110" s="6" t="inlineStr">
        <is>
          <t>https://www.xgsenergy.com/geothermal-innovator-xgs-energy-completes-oversubscribed-20m-capital-raise/</t>
        </is>
      </c>
      <c r="E110" s="6" t="inlineStr">
        <is>
          <t>2026-09-28</t>
        </is>
      </c>
      <c r="F110" s="6" t="inlineStr"/>
      <c r="G110" s="6" t="inlineStr">
        <is>
          <t>searched, not cited in a cell</t>
        </is>
      </c>
    </row>
    <row r="111">
      <c r="B111" s="7" t="inlineStr">
        <is>
          <t>S106</t>
        </is>
      </c>
      <c r="C111" s="7" t="inlineStr">
        <is>
          <t>Renewables Now: Geothermal tech firm XGS Energy optimistic on US cost target – XGS Energy</t>
        </is>
      </c>
      <c r="D111" s="7" t="inlineStr">
        <is>
          <t>https://www.xgsenergy.com/renewables-now-geothermal-tech-firm-xgs-energy-optimistic-on-us-cost-target/</t>
        </is>
      </c>
      <c r="E111" s="7" t="inlineStr">
        <is>
          <t>2026-09-28</t>
        </is>
      </c>
      <c r="F111" s="7" t="inlineStr"/>
      <c r="G111" s="7" t="inlineStr">
        <is>
          <t>searched, not cited in a cell</t>
        </is>
      </c>
    </row>
    <row r="112">
      <c r="B112" s="6" t="inlineStr">
        <is>
          <t>S107</t>
        </is>
      </c>
      <c r="C112" s="6" t="inlineStr">
        <is>
          <t>Exclusive: XGS raises $20M for geothermal tech</t>
        </is>
      </c>
      <c r="D112" s="6" t="inlineStr">
        <is>
          <t>https://www.axios.com/pro/climate-deals/2024/05/21/xgs-geothermal-funding</t>
        </is>
      </c>
      <c r="E112" s="6" t="inlineStr">
        <is>
          <t>2026-09-28</t>
        </is>
      </c>
      <c r="F112" s="6" t="inlineStr"/>
      <c r="G112" s="6" t="inlineStr">
        <is>
          <t>'Landscape'!B10:J10; 'Landscape'!B14; 'Capital'!B9:H9; 'Capital'!B25</t>
        </is>
      </c>
    </row>
    <row r="113">
      <c r="B113" s="7" t="inlineStr">
        <is>
          <t>S108</t>
        </is>
      </c>
      <c r="C113" s="7" t="inlineStr">
        <is>
          <t>Quaise Energy secures $21 million funding to support field operations</t>
        </is>
      </c>
      <c r="D113" s="7" t="inlineStr">
        <is>
          <t>https://www.thinkgeoenergy.com/quaise-energy-secures-21-million-funding-to-support-field-operations/</t>
        </is>
      </c>
      <c r="E113" s="7" t="inlineStr">
        <is>
          <t>2026-09-28</t>
        </is>
      </c>
      <c r="F113" s="7" t="inlineStr">
        <is>
          <t>March 12, 2024</t>
        </is>
      </c>
      <c r="G113" s="7" t="inlineStr">
        <is>
          <t>searched, not cited in a cell</t>
        </is>
      </c>
    </row>
    <row r="114">
      <c r="B114" s="6" t="inlineStr">
        <is>
          <t>S109</t>
        </is>
      </c>
      <c r="C114" s="6" t="inlineStr">
        <is>
          <t>Quaise Energy Raises $134M To Build Superhot Geothermal Power Plant</t>
        </is>
      </c>
      <c r="D114" s="6" t="inlineStr">
        <is>
          <t>https://jpt.spe.org/quaise-energy-raises-134m-to-build-superhot-geothermal-power-plant</t>
        </is>
      </c>
      <c r="E114" s="6" t="inlineStr">
        <is>
          <t>2026-09-28</t>
        </is>
      </c>
      <c r="F114" s="6" t="inlineStr">
        <is>
          <t>July 9, 2026</t>
        </is>
      </c>
      <c r="G114" s="6" t="inlineStr">
        <is>
          <t>'Landscape'!B8:J8; 'Landscape'!B14; 'Capital'!B23:H23; 'Capital'!B25</t>
        </is>
      </c>
    </row>
    <row r="115">
      <c r="B115" s="7" t="inlineStr">
        <is>
          <t>S110</t>
        </is>
      </c>
      <c r="C115" s="7" t="inlineStr">
        <is>
          <t>Quaise Energy Raises $134 Million in Initial Close of Series B to Build World’s First Superhot Geothermal Power Plant</t>
        </is>
      </c>
      <c r="D115" s="7" t="inlineStr">
        <is>
          <t>https://finance.yahoo.com/energy/articles/quaise-energy-raises-134-million-120100752.html</t>
        </is>
      </c>
      <c r="E115" s="7" t="inlineStr">
        <is>
          <t>2026-09-28</t>
        </is>
      </c>
      <c r="F115" s="7" t="inlineStr">
        <is>
          <t>July 7, 2026</t>
        </is>
      </c>
      <c r="G115" s="7" t="inlineStr">
        <is>
          <t>'Landscape'!B8:J8; 'Landscape'!B14; 'Capital'!B23:H23; 'Capital'!B25</t>
        </is>
      </c>
    </row>
    <row r="116">
      <c r="B116" s="6" t="inlineStr">
        <is>
          <t>S111</t>
        </is>
      </c>
      <c r="C116" s="6" t="inlineStr">
        <is>
          <t>Quaise raises $180 million in final close of Series B to fund superhot geothermal project</t>
        </is>
      </c>
      <c r="D116" s="6" t="inlineStr">
        <is>
          <t>https://www.thinkgeoenergy.com/quaise-raises-180-million-in-final-close-of-series-b-to-fund-superhot-geothermal-project/</t>
        </is>
      </c>
      <c r="E116" s="6" t="inlineStr">
        <is>
          <t>2026-09-28</t>
        </is>
      </c>
      <c r="F116" s="6" t="inlineStr">
        <is>
          <t>August 28, 2026</t>
        </is>
      </c>
      <c r="G116" s="6" t="inlineStr">
        <is>
          <t>'Landscape'!B8:J8; 'Landscape'!B14; 'Capital'!B24:H24; 'Capital'!B25; 'Incumbents'!B12:H12; 'Incumbents'!B16</t>
        </is>
      </c>
    </row>
    <row r="117">
      <c r="B117" s="7" t="inlineStr">
        <is>
          <t>S112</t>
        </is>
      </c>
      <c r="C117" s="7" t="inlineStr">
        <is>
          <t>Quaise Energy Raises $134 Million in Initial Close of Series B to Build World’s First Superhot Geothermal Power Plant</t>
        </is>
      </c>
      <c r="D117" s="7" t="inlineStr">
        <is>
          <t>https://www.businesswire.com/news/home/20260707844187/en/Quaise-Energy-Raises-$134-Million-in-Initial-Close-of-Series-B-to-Build-Worlds-First-Superhot-Geothermal-Power-Plant</t>
        </is>
      </c>
      <c r="E117" s="7" t="inlineStr">
        <is>
          <t>2026-09-28</t>
        </is>
      </c>
      <c r="F117" s="7" t="inlineStr">
        <is>
          <t>July 7, 2026</t>
        </is>
      </c>
      <c r="G117" s="7" t="inlineStr">
        <is>
          <t>searched, not cited in a cell</t>
        </is>
      </c>
    </row>
    <row r="118">
      <c r="B118" s="6" t="inlineStr">
        <is>
          <t>S113</t>
        </is>
      </c>
      <c r="C118" s="6" t="inlineStr">
        <is>
          <t>Nabors Expands Geothermal Growth Platform with $35 Million Strategic Investment in Quaise Energy - Aug 27, 2026</t>
        </is>
      </c>
      <c r="D118" s="6" t="inlineStr">
        <is>
          <t>https://investor.nabors.com/2026-08-27-Nabors-Expands-Geothermal-Growth-Platform-with-35-Million-Strategic-Investment-in-Quaise-Energy</t>
        </is>
      </c>
      <c r="E118" s="6" t="inlineStr">
        <is>
          <t>2026-09-28</t>
        </is>
      </c>
      <c r="F118" s="6" t="inlineStr"/>
      <c r="G118" s="6" t="inlineStr">
        <is>
          <t>'Landscape'!B8:J8; 'Landscape'!B14; 'Capital'!B24:H24; 'Capital'!B25; 'Incumbents'!B11:H11; 'Incumbents'!B12:H12; 'Incumbents'!B16</t>
        </is>
      </c>
    </row>
    <row r="119">
      <c r="B119" s="7" t="inlineStr">
        <is>
          <t>S114</t>
        </is>
      </c>
      <c r="C119" s="7" t="inlineStr">
        <is>
          <t>Quaise Energy Raises $134 Million in First Close of Series B to Build…</t>
        </is>
      </c>
      <c r="D119" s="7" t="inlineStr">
        <is>
          <t>https://www.quaise.com/news/quaise-energy-raises-134-million-in-first-close-of-series-b-to-build-worlds-first-superhot-geothermal-power-plant</t>
        </is>
      </c>
      <c r="E119" s="7" t="inlineStr">
        <is>
          <t>2026-09-28</t>
        </is>
      </c>
      <c r="F119" s="7" t="inlineStr">
        <is>
          <t>July 16, 2026</t>
        </is>
      </c>
      <c r="G119" s="7" t="inlineStr">
        <is>
          <t>searched, not cited in a cell</t>
        </is>
      </c>
    </row>
    <row r="120">
      <c r="B120" s="6" t="inlineStr">
        <is>
          <t>S115</t>
        </is>
      </c>
      <c r="C120" s="6" t="inlineStr">
        <is>
          <t>Quaise Energy | Quaise Energy Closes $180 Million Series B with $35…</t>
        </is>
      </c>
      <c r="D120" s="6" t="inlineStr">
        <is>
          <t>https://www.quaise.com/news/quaise-energy-closes-180-million-series-b-with-35-million-investment-by-nabors-industries</t>
        </is>
      </c>
      <c r="E120" s="6" t="inlineStr">
        <is>
          <t>2026-09-28</t>
        </is>
      </c>
      <c r="F120" s="6" t="inlineStr">
        <is>
          <t>August 27, 2026</t>
        </is>
      </c>
      <c r="G120" s="6" t="inlineStr">
        <is>
          <t>searched, not cited in a cell</t>
        </is>
      </c>
    </row>
    <row r="121">
      <c r="B121" s="7" t="inlineStr">
        <is>
          <t>S116</t>
        </is>
      </c>
      <c r="C121" s="7" t="inlineStr">
        <is>
          <t>Quaise Energy | Quaise Energy Raises $21 Million to Accelerate…</t>
        </is>
      </c>
      <c r="D121" s="7" t="inlineStr">
        <is>
          <t>https://www.quaise.com/news/quaise-energy-raises-21-million-to-accelerate-terawatt-scale-deep-geothermal-energy</t>
        </is>
      </c>
      <c r="E121" s="7" t="inlineStr">
        <is>
          <t>2026-09-28</t>
        </is>
      </c>
      <c r="F121" s="7" t="inlineStr">
        <is>
          <t>November 1, 2024</t>
        </is>
      </c>
      <c r="G121" s="7" t="inlineStr">
        <is>
          <t>'Landscape'!B8:J8; 'Landscape'!B14; 'Capital'!B13:H13; 'Capital'!B25</t>
        </is>
      </c>
    </row>
    <row r="122">
      <c r="B122" s="6" t="inlineStr">
        <is>
          <t>S117</t>
        </is>
      </c>
      <c r="C122" s="6" t="inlineStr">
        <is>
          <t>Quaise Energy: Millimeter-Wave Drilling Profile — Geothermal Insider</t>
        </is>
      </c>
      <c r="D122" s="6" t="inlineStr">
        <is>
          <t>https://geothermalinsider.com/learn/quaise-energy/</t>
        </is>
      </c>
      <c r="E122" s="6" t="inlineStr">
        <is>
          <t>2026-09-28</t>
        </is>
      </c>
      <c r="F122" s="6" t="inlineStr">
        <is>
          <t>1 month ago</t>
        </is>
      </c>
      <c r="G122" s="6" t="inlineStr">
        <is>
          <t>searched, not cited in a cell</t>
        </is>
      </c>
    </row>
    <row r="123">
      <c r="B123" s="7" t="inlineStr">
        <is>
          <t>S118</t>
        </is>
      </c>
      <c r="C123" s="7" t="inlineStr">
        <is>
          <t>ORMAT TECHNOLOGIES, INC. - Form DEF 14A - FY2025</t>
        </is>
      </c>
      <c r="D123" s="7" t="inlineStr">
        <is>
          <t>https://www.sec.gov/Archives/edgar/data/1296445/000130817925000240/ora012673-def14a.htm</t>
        </is>
      </c>
      <c r="E123" s="7" t="inlineStr">
        <is>
          <t>2026-09-28</t>
        </is>
      </c>
      <c r="F123" s="7" t="inlineStr"/>
      <c r="G123" s="7" t="inlineStr">
        <is>
          <t>searched, not cited in a cell</t>
        </is>
      </c>
    </row>
    <row r="124">
      <c r="B124" s="6" t="inlineStr">
        <is>
          <t>S119</t>
        </is>
      </c>
      <c r="C124" s="6" t="inlineStr">
        <is>
          <t>ANNUAL REPORT 2024</t>
        </is>
      </c>
      <c r="D124" s="6" t="inlineStr">
        <is>
          <t>https://s1.q4cdn.com/231465352/files/doc_financials/2024/ar/91cd05cc-4ca9-43d4-9276-f536d5645bea.pdf</t>
        </is>
      </c>
      <c r="E124" s="6" t="inlineStr">
        <is>
          <t>2026-09-28</t>
        </is>
      </c>
      <c r="F124" s="6" t="inlineStr">
        <is>
          <t>February 27, 2025</t>
        </is>
      </c>
      <c r="G124" s="6" t="inlineStr">
        <is>
          <t>'Incumbents'!B8:H8; 'Incumbents'!B16</t>
        </is>
      </c>
    </row>
    <row r="125">
      <c r="B125" s="7" t="inlineStr">
        <is>
          <t>S120</t>
        </is>
      </c>
      <c r="C125" s="7" t="inlineStr">
        <is>
          <t>Ormat Technologies Inc. - Ormat Technologies Reports First Quarter 2025 Financial Results</t>
        </is>
      </c>
      <c r="D125" s="7" t="inlineStr">
        <is>
          <t>https://investor.ormat.com/news-events/news/news-details/2025/Ormat-Technologies-Reports-First-Quarter-2025-Financial-Results/default.aspx</t>
        </is>
      </c>
      <c r="E125" s="7" t="inlineStr">
        <is>
          <t>2026-09-28</t>
        </is>
      </c>
      <c r="F125" s="7" t="inlineStr">
        <is>
          <t>May 7, 2025</t>
        </is>
      </c>
      <c r="G125" s="7" t="inlineStr">
        <is>
          <t>searched, not cited in a cell</t>
        </is>
      </c>
    </row>
    <row r="126">
      <c r="B126" s="6" t="inlineStr">
        <is>
          <t>S121</t>
        </is>
      </c>
      <c r="C126" s="6" t="inlineStr">
        <is>
          <t>Ormat Technologies Inc. - Ormat Technologies Reports Fourth Quarter and Year-End 2025 Financial Results</t>
        </is>
      </c>
      <c r="D126" s="6" t="inlineStr">
        <is>
          <t>https://investor.ormat.com/news-events/news/news-details/2026/Ormat-Technologies-Reports-Fourth-Quarter-and-Year-End-2025-Financial-Results/default.aspx</t>
        </is>
      </c>
      <c r="E126" s="6" t="inlineStr">
        <is>
          <t>2026-09-28</t>
        </is>
      </c>
      <c r="F126" s="6" t="inlineStr"/>
      <c r="G126" s="6" t="inlineStr">
        <is>
          <t>'Landscape'!B9:J9; 'Landscape'!B14; 'Incumbents'!B7:H7; 'Incumbents'!B16</t>
        </is>
      </c>
    </row>
    <row r="127">
      <c r="B127" s="7" t="inlineStr">
        <is>
          <t>S122</t>
        </is>
      </c>
      <c r="C127" s="7" t="inlineStr">
        <is>
          <t>Ormat Technologies Expands Growth via Geothermal and Energy Storage</t>
        </is>
      </c>
      <c r="D127" s="7" t="inlineStr">
        <is>
          <t>https://qz.com/ormat-technologies-expands-growth-via-geothermal-and-energy-storage</t>
        </is>
      </c>
      <c r="E127" s="7" t="inlineStr">
        <is>
          <t>2026-09-28</t>
        </is>
      </c>
      <c r="F127" s="7" t="inlineStr">
        <is>
          <t>April 2, 2026</t>
        </is>
      </c>
      <c r="G127" s="7" t="inlineStr">
        <is>
          <t>searched, not cited in a cell</t>
        </is>
      </c>
    </row>
    <row r="128">
      <c r="B128" s="6" t="inlineStr">
        <is>
          <t>S123</t>
        </is>
      </c>
      <c r="C128" s="6" t="inlineStr">
        <is>
          <t>Ormat Technologies Inc. - Ormat Technologies Reports Second Quarter 2025 Financial Results</t>
        </is>
      </c>
      <c r="D128" s="6" t="inlineStr">
        <is>
          <t>https://investor.ormat.com/news-events/news/news-details/2025/Ormat-Technologies-Reports-Second-Quarter-2025-Financial-Results/default.aspx</t>
        </is>
      </c>
      <c r="E128" s="6" t="inlineStr">
        <is>
          <t>2026-09-28</t>
        </is>
      </c>
      <c r="F128" s="6" t="inlineStr"/>
      <c r="G128" s="6" t="inlineStr">
        <is>
          <t>searched, not cited in a cell</t>
        </is>
      </c>
    </row>
    <row r="129">
      <c r="B129" s="7" t="inlineStr">
        <is>
          <t>S124</t>
        </is>
      </c>
      <c r="C129" s="7" t="inlineStr">
        <is>
          <t>Ormat Technologies Inc. - Ormat Technologies Reports Third Quarter 2025 Financial Results</t>
        </is>
      </c>
      <c r="D129" s="7" t="inlineStr">
        <is>
          <t>https://investor.ormat.com/news-events/news/news-details/2025/Ormat-Technologies-Reports-Third-Quarter-2025-Financial-Results/default.aspx</t>
        </is>
      </c>
      <c r="E129" s="7" t="inlineStr">
        <is>
          <t>2026-09-28</t>
        </is>
      </c>
      <c r="F129" s="7" t="inlineStr">
        <is>
          <t>November 3, 2025</t>
        </is>
      </c>
      <c r="G129" s="7" t="inlineStr">
        <is>
          <t>searched, not cited in a cell</t>
        </is>
      </c>
    </row>
    <row r="130">
      <c r="B130" s="6" t="inlineStr">
        <is>
          <t>S125</t>
        </is>
      </c>
      <c r="C130" s="6" t="inlineStr">
        <is>
          <t>Blue Mountain Faulkner 1 Geothermal Power Plant</t>
        </is>
      </c>
      <c r="D130" s="6" t="inlineStr">
        <is>
          <t>https://en.wikipedia.org/wiki/Blue_Mountain_Faulkner_1_Geothermal_Power_Plant</t>
        </is>
      </c>
      <c r="E130" s="6" t="inlineStr">
        <is>
          <t>2026-09-28</t>
        </is>
      </c>
      <c r="F130" s="6" t="inlineStr"/>
      <c r="G130" s="6" t="inlineStr">
        <is>
          <t>searched, not cited in a cell</t>
        </is>
      </c>
    </row>
    <row r="131">
      <c r="B131" s="7" t="inlineStr">
        <is>
          <t>S126</t>
        </is>
      </c>
      <c r="C131" s="7" t="inlineStr">
        <is>
          <t>ORMAT TECHNOLOGIES, INC. - Form 8-K - FY2016</t>
        </is>
      </c>
      <c r="D131" s="7" t="inlineStr">
        <is>
          <t>https://www.sec.gov/Archives/edgar/data/0001296445/000143774916025890/ex99-1.htm</t>
        </is>
      </c>
      <c r="E131" s="7" t="inlineStr">
        <is>
          <t>2026-09-28</t>
        </is>
      </c>
      <c r="F131" s="7" t="inlineStr"/>
      <c r="G131" s="7" t="inlineStr">
        <is>
          <t>searched, not cited in a cell</t>
        </is>
      </c>
    </row>
    <row r="132">
      <c r="B132" s="6" t="inlineStr">
        <is>
          <t>S127</t>
        </is>
      </c>
      <c r="C132" s="6" t="inlineStr">
        <is>
          <t>Mammoth Geothermal Complex</t>
        </is>
      </c>
      <c r="D132" s="6" t="inlineStr">
        <is>
          <t>https://en.wikipedia.org/wiki/Mammoth_Geothermal_Complex</t>
        </is>
      </c>
      <c r="E132" s="6" t="inlineStr">
        <is>
          <t>2026-09-28</t>
        </is>
      </c>
      <c r="F132" s="6" t="inlineStr"/>
      <c r="G132" s="6" t="inlineStr">
        <is>
          <t>searched, not cited in a cell</t>
        </is>
      </c>
    </row>
    <row r="133">
      <c r="B133" s="7" t="inlineStr">
        <is>
          <t>S128</t>
        </is>
      </c>
      <c r="C133" s="7" t="inlineStr">
        <is>
          <t>Baker Hughes Unlocks Geothermal Opportunity in North America</t>
        </is>
      </c>
      <c r="D133" s="7" t="inlineStr">
        <is>
          <t>https://finance.yahoo.com/energy/articles/baker-hughes-unlocks-geothermal-opportunity-133000195.html</t>
        </is>
      </c>
      <c r="E133" s="7" t="inlineStr">
        <is>
          <t>2026-09-28</t>
        </is>
      </c>
      <c r="F133" s="7" t="inlineStr">
        <is>
          <t>June 25, 2026</t>
        </is>
      </c>
      <c r="G133" s="7" t="inlineStr">
        <is>
          <t>'Landscape'!B13:J13; 'Landscape'!B14; 'Incumbents'!B10:H10; 'Incumbents'!B16</t>
        </is>
      </c>
    </row>
    <row r="134">
      <c r="B134" s="6" t="inlineStr">
        <is>
          <t>S129</t>
        </is>
      </c>
      <c r="C134" s="6" t="inlineStr">
        <is>
          <t>SLB Geothermal: Analyzing 2025 Market Dominance - EnkiAI</t>
        </is>
      </c>
      <c r="D134" s="6" t="inlineStr">
        <is>
          <t>https://enkiai.com/geothermal/slb-geothermal-analyzing-2025-market-dominance/</t>
        </is>
      </c>
      <c r="E134" s="6" t="inlineStr">
        <is>
          <t>2026-09-28</t>
        </is>
      </c>
      <c r="F134" s="6" t="inlineStr">
        <is>
          <t>April 28, 2026</t>
        </is>
      </c>
      <c r="G134" s="6" t="inlineStr">
        <is>
          <t>searched, not cited in a cell</t>
        </is>
      </c>
    </row>
    <row r="135">
      <c r="B135" s="7" t="inlineStr">
        <is>
          <t>S130</t>
        </is>
      </c>
      <c r="C135" s="7" t="inlineStr">
        <is>
          <t>SCHLUMBERGER LIMITED/NV - Form 8-K - FY2024</t>
        </is>
      </c>
      <c r="D135" s="7" t="inlineStr">
        <is>
          <t>https://www.sec.gov/Archives/edgar/data/87347/000119312524181280/d696444dex99.htm</t>
        </is>
      </c>
      <c r="E135" s="7" t="inlineStr">
        <is>
          <t>2026-09-28</t>
        </is>
      </c>
      <c r="F135" s="7" t="inlineStr"/>
      <c r="G135" s="7" t="inlineStr">
        <is>
          <t>searched, not cited in a cell</t>
        </is>
      </c>
    </row>
    <row r="136">
      <c r="B136" s="6" t="inlineStr">
        <is>
          <t>S131</t>
        </is>
      </c>
      <c r="C136" s="6" t="inlineStr">
        <is>
          <t>SCHLUMBERGER LIMITED/NV - Form 8-K - FY2025</t>
        </is>
      </c>
      <c r="D136" s="6" t="inlineStr">
        <is>
          <t>https://www.sec.gov/Archives/edgar/data/87347/000119312525160817/d63402dex99.htm</t>
        </is>
      </c>
      <c r="E136" s="6" t="inlineStr">
        <is>
          <t>2026-09-28</t>
        </is>
      </c>
      <c r="F136" s="6" t="inlineStr"/>
      <c r="G136" s="6" t="inlineStr">
        <is>
          <t>'Landscape'!B12:J12; 'Landscape'!B14; 'Incumbents'!B9:H9; 'Incumbents'!B16</t>
        </is>
      </c>
    </row>
    <row r="137">
      <c r="B137" s="7" t="inlineStr">
        <is>
          <t>S132</t>
        </is>
      </c>
      <c r="C137" s="7" t="inlineStr">
        <is>
          <t>Geothermal Subsurface Modeling &amp; Evaluation | SLB</t>
        </is>
      </c>
      <c r="D137" s="7" t="inlineStr">
        <is>
          <t>https://www.slb.com/products-and-services/scaling-new-energy-systems/geothermal/geothermal-subsurface-modeling-and-evaluation</t>
        </is>
      </c>
      <c r="E137" s="7" t="inlineStr">
        <is>
          <t>2026-09-28</t>
        </is>
      </c>
      <c r="F137" s="7" t="inlineStr"/>
      <c r="G137" s="7" t="inlineStr">
        <is>
          <t>searched, not cited in a cell</t>
        </is>
      </c>
    </row>
    <row r="138">
      <c r="B138" s="6" t="inlineStr">
        <is>
          <t>S133</t>
        </is>
      </c>
      <c r="C138" s="6" t="inlineStr">
        <is>
          <t>Strategic collaboration to advance geothermal exploration in the U.S | Industry USA</t>
        </is>
      </c>
      <c r="D138" s="6" t="inlineStr">
        <is>
          <t>https://www.magazine-industry-usa.com/news/110830-strategic-collaboration-to-advance-geothermal-exploration-in-the-u-s</t>
        </is>
      </c>
      <c r="E138" s="6" t="inlineStr">
        <is>
          <t>2026-09-28</t>
        </is>
      </c>
      <c r="F138" s="6" t="inlineStr">
        <is>
          <t>May 21, 2026</t>
        </is>
      </c>
      <c r="G138" s="6" t="inlineStr">
        <is>
          <t>searched, not cited in a cell</t>
        </is>
      </c>
    </row>
    <row r="139">
      <c r="B139" s="7" t="inlineStr">
        <is>
          <t>S134</t>
        </is>
      </c>
      <c r="C139" s="7" t="inlineStr">
        <is>
          <t>Digital geothermal solutions | SLB</t>
        </is>
      </c>
      <c r="D139" s="7" t="inlineStr">
        <is>
          <t>https://www.slb.com/products-and-services/delivering-digital-at-scale/software/digital-sustainability/act/digital-geothermal</t>
        </is>
      </c>
      <c r="E139" s="7" t="inlineStr">
        <is>
          <t>2026-09-28</t>
        </is>
      </c>
      <c r="F139" s="7" t="inlineStr"/>
      <c r="G139" s="7" t="inlineStr">
        <is>
          <t>searched, not cited in a cell</t>
        </is>
      </c>
    </row>
    <row r="140">
      <c r="B140" s="6" t="inlineStr">
        <is>
          <t>S135</t>
        </is>
      </c>
      <c r="C140" s="6" t="inlineStr">
        <is>
          <t>Unlocking SLB’s 2025 Geothermal Pivot for Data Centers - ENKI</t>
        </is>
      </c>
      <c r="D140" s="6" t="inlineStr">
        <is>
          <t>https://enkiai.com/data-center/unlocking-slbs-2025-geothermal-pivot-for-data-centers/</t>
        </is>
      </c>
      <c r="E140" s="6" t="inlineStr">
        <is>
          <t>2026-09-28</t>
        </is>
      </c>
      <c r="F140" s="6" t="inlineStr">
        <is>
          <t>April 28, 2026</t>
        </is>
      </c>
      <c r="G140" s="6" t="inlineStr">
        <is>
          <t>searched, not cited in a cell</t>
        </is>
      </c>
    </row>
    <row r="141">
      <c r="B141" s="7" t="inlineStr">
        <is>
          <t>S136</t>
        </is>
      </c>
      <c r="C141" s="7" t="inlineStr">
        <is>
          <t>Geothermal | SLB</t>
        </is>
      </c>
      <c r="D141" s="7" t="inlineStr">
        <is>
          <t>https://www.slb.com/solutions/geothermal</t>
        </is>
      </c>
      <c r="E141" s="7" t="inlineStr">
        <is>
          <t>2026-09-28</t>
        </is>
      </c>
      <c r="F141" s="7" t="inlineStr"/>
      <c r="G141" s="7" t="inlineStr">
        <is>
          <t>searched, not cited in a cell</t>
        </is>
      </c>
    </row>
    <row r="142">
      <c r="B142" s="6" t="inlineStr">
        <is>
          <t>S137</t>
        </is>
      </c>
      <c r="C142" s="6" t="inlineStr">
        <is>
          <t>Bill Gates-backed geothermal developer Fervo raises $1.89B in IPO | ESG Dive</t>
        </is>
      </c>
      <c r="D142" s="6" t="inlineStr">
        <is>
          <t>https://www.esgdive.com/news/bill-gates-backed-geothermal-developer-fervo-raises-189b-in-ipo/820131/</t>
        </is>
      </c>
      <c r="E142" s="6" t="inlineStr">
        <is>
          <t>2026-09-28</t>
        </is>
      </c>
      <c r="F142" s="6" t="inlineStr">
        <is>
          <t>May 13, 2026</t>
        </is>
      </c>
      <c r="G142" s="6" t="inlineStr">
        <is>
          <t>'Capital'!B17:H17; 'Capital'!B18:H18; 'Capital'!B19:H19; 'Capital'!B20:H20; 'Capital'!B22:H22; 'Capital'!B25; 'Incumbents'!B15:H15; 'Incumbents'!B16</t>
        </is>
      </c>
    </row>
    <row r="143">
      <c r="B143" s="7" t="inlineStr">
        <is>
          <t>S138</t>
        </is>
      </c>
      <c r="C143" s="7" t="inlineStr">
        <is>
          <t>Enter: FRVO</t>
        </is>
      </c>
      <c r="D143" s="7" t="inlineStr">
        <is>
          <t>https://activate.org/news/enter-frvo</t>
        </is>
      </c>
      <c r="E143" s="7" t="inlineStr">
        <is>
          <t>2026-09-28</t>
        </is>
      </c>
      <c r="F143" s="7" t="inlineStr">
        <is>
          <t>May 27, 2026</t>
        </is>
      </c>
      <c r="G143" s="7" t="inlineStr">
        <is>
          <t>searched, not cited in a cell</t>
        </is>
      </c>
    </row>
    <row r="144">
      <c r="B144" s="6" t="inlineStr">
        <is>
          <t>S139</t>
        </is>
      </c>
      <c r="C144" s="6" t="inlineStr">
        <is>
          <t>Tim Latimer - Energy Capital HTX</t>
        </is>
      </c>
      <c r="D144" s="6" t="inlineStr">
        <is>
          <t>https://energycapitalhtx.com/tag/tim-latimer</t>
        </is>
      </c>
      <c r="E144" s="6" t="inlineStr">
        <is>
          <t>2026-09-28</t>
        </is>
      </c>
      <c r="F144" s="6" t="inlineStr"/>
      <c r="G144" s="6" t="inlineStr">
        <is>
          <t>searched, not cited in a cell</t>
        </is>
      </c>
    </row>
    <row r="145">
      <c r="B145" s="7" t="inlineStr">
        <is>
          <t>S140</t>
        </is>
      </c>
      <c r="C145" s="7" t="inlineStr">
        <is>
          <t>Fervo Energy</t>
        </is>
      </c>
      <c r="D145" s="7" t="inlineStr">
        <is>
          <t>https://en.wikipedia.org/wiki/Fervo_Energy</t>
        </is>
      </c>
      <c r="E145" s="7" t="inlineStr">
        <is>
          <t>2026-09-28</t>
        </is>
      </c>
      <c r="F145" s="7" t="inlineStr"/>
      <c r="G145" s="7" t="inlineStr">
        <is>
          <t>'Incumbents'!B15:H15; 'Incumbents'!B16</t>
        </is>
      </c>
    </row>
    <row r="146">
      <c r="B146" s="6" t="inlineStr">
        <is>
          <t>S141</t>
        </is>
      </c>
      <c r="C146" s="6" t="inlineStr">
        <is>
          <t>Fervo Energy IPO Timeline and Financing Details - Forge</t>
        </is>
      </c>
      <c r="D146" s="6" t="inlineStr">
        <is>
          <t>https://forgeglobal.com/fervo-energy_ipo/</t>
        </is>
      </c>
      <c r="E146" s="6" t="inlineStr">
        <is>
          <t>2026-09-28</t>
        </is>
      </c>
      <c r="F146" s="6" t="inlineStr">
        <is>
          <t>November 15, 2023</t>
        </is>
      </c>
      <c r="G146" s="6" t="inlineStr">
        <is>
          <t>searched, not cited in a cell</t>
        </is>
      </c>
    </row>
    <row r="147">
      <c r="B147" s="7" t="inlineStr">
        <is>
          <t>S142</t>
        </is>
      </c>
      <c r="C147" s="7" t="inlineStr">
        <is>
          <t>Fervo Energy: Funding, Team &amp; Investors</t>
        </is>
      </c>
      <c r="D147" s="7" t="inlineStr">
        <is>
          <t>https://startupintros.com/orgs/fervo-energy</t>
        </is>
      </c>
      <c r="E147" s="7" t="inlineStr">
        <is>
          <t>2026-09-28</t>
        </is>
      </c>
      <c r="F147" s="7" t="inlineStr">
        <is>
          <t>July 13, 2026</t>
        </is>
      </c>
      <c r="G147" s="7" t="inlineStr">
        <is>
          <t>searched, not cited in a cell</t>
        </is>
      </c>
    </row>
    <row r="148">
      <c r="B148" s="6" t="inlineStr">
        <is>
          <t>S143</t>
        </is>
      </c>
      <c r="C148" s="6" t="inlineStr">
        <is>
          <t>Fervo Energy - 2026 Company Profile, Team, Funding &amp; Competitors - Tracxn</t>
        </is>
      </c>
      <c r="D148" s="6" t="inlineStr">
        <is>
          <t>https://tracxn.com/d/companies/fervoenergy/__D7OXtPfF27uLwCpOgktsLOqCtjPUmqwZQNaRTq_W9NI</t>
        </is>
      </c>
      <c r="E148" s="6" t="inlineStr">
        <is>
          <t>2026-09-28</t>
        </is>
      </c>
      <c r="F148" s="6" t="inlineStr">
        <is>
          <t>May 21, 2026</t>
        </is>
      </c>
      <c r="G148" s="6" t="inlineStr">
        <is>
          <t>searched, not cited in a cell</t>
        </is>
      </c>
    </row>
    <row r="149">
      <c r="B149" s="7" t="inlineStr">
        <is>
          <t>S144</t>
        </is>
      </c>
      <c r="C149" s="7" t="inlineStr">
        <is>
          <t>Funding &amp; Investors of Fervo Energy: Leading Geothermal Innovations</t>
        </is>
      </c>
      <c r="D149" s="7" t="inlineStr">
        <is>
          <t>https://websets.exa.ai/websets/directory/fervo-funding</t>
        </is>
      </c>
      <c r="E149" s="7" t="inlineStr">
        <is>
          <t>2026-09-28</t>
        </is>
      </c>
      <c r="F149" s="7" t="inlineStr"/>
      <c r="G149" s="7" t="inlineStr">
        <is>
          <t>searched, not cited in a cell</t>
        </is>
      </c>
    </row>
    <row r="150">
      <c r="B150" s="6" t="inlineStr">
        <is>
          <t>S145</t>
        </is>
      </c>
      <c r="C150" s="6" t="inlineStr">
        <is>
          <t>Fervo Energy: From Startup to Geothermal Leader - Energy News Beat</t>
        </is>
      </c>
      <c r="D150" s="6" t="inlineStr">
        <is>
          <t>https://energynewsbeat.co/geothermal-2/fervo-energy-from-startup-to-geothermal-leader/</t>
        </is>
      </c>
      <c r="E150" s="6" t="inlineStr">
        <is>
          <t>2026-09-28</t>
        </is>
      </c>
      <c r="F150" s="6" t="inlineStr">
        <is>
          <t>April 18, 2026</t>
        </is>
      </c>
      <c r="G150" s="6" t="inlineStr">
        <is>
          <t>'Capital'!B21:H21; 'Capital'!B25; 'Incumbents'!B15:H15; 'Incumbents'!B16</t>
        </is>
      </c>
    </row>
    <row r="151">
      <c r="B151" s="7" t="inlineStr">
        <is>
          <t>S146</t>
        </is>
      </c>
      <c r="C151" s="7" t="inlineStr">
        <is>
          <t>Project InnerSpace: Top Climate Nonprofit Evaluation | Giving Green</t>
        </is>
      </c>
      <c r="D151" s="7" t="inlineStr">
        <is>
          <t>https://www.givinggreen.earth/research/project-innerspace-top-climate-nonprofit-evaluation</t>
        </is>
      </c>
      <c r="E151" s="7" t="inlineStr">
        <is>
          <t>2026-09-28</t>
        </is>
      </c>
      <c r="F151" s="7" t="inlineStr"/>
      <c r="G151" s="7" t="inlineStr">
        <is>
          <t>'Landscape'!B12:J12; 'Landscape'!B14</t>
        </is>
      </c>
    </row>
    <row r="152">
      <c r="B152" s="6" t="inlineStr">
        <is>
          <t>S147</t>
        </is>
      </c>
      <c r="C152" s="6" t="inlineStr">
        <is>
          <t>Project InnerSpace: Top Climate Nonprofit Spotlight | Giving Green</t>
        </is>
      </c>
      <c r="D152" s="6" t="inlineStr">
        <is>
          <t>https://www.givinggreen.earth/research/project-innerspace-top-climate-nonprofit-spotlight</t>
        </is>
      </c>
      <c r="E152" s="6" t="inlineStr">
        <is>
          <t>2026-09-28</t>
        </is>
      </c>
      <c r="F152" s="6" t="inlineStr"/>
      <c r="G152" s="6" t="inlineStr">
        <is>
          <t>searched, not cited in a cell</t>
        </is>
      </c>
    </row>
    <row r="153">
      <c r="B153" s="7" t="inlineStr">
        <is>
          <t>S148</t>
        </is>
      </c>
      <c r="C153" s="7" t="inlineStr">
        <is>
          <t xml:space="preserve">Project InnerSpace Becomes the Largest Nonprofit Funder of Geothermal in the World with 2025 Portfolio - But We Aren't Popping the Champagne Just Yet </t>
        </is>
      </c>
      <c r="D153" s="7" t="inlineStr">
        <is>
          <t>https://www.morningstar.com/news/pr-newswire/20251209ne42909/project-innerspace-becomes-the-largest-nonprofit-funder-of-geothermal-in-the-world-with-2025-portfolio-but-we-arent-popping-the-champagne-just-yet</t>
        </is>
      </c>
      <c r="E153" s="7" t="inlineStr">
        <is>
          <t>2026-09-28</t>
        </is>
      </c>
      <c r="F153" s="7" t="inlineStr">
        <is>
          <t>December 9, 2025</t>
        </is>
      </c>
      <c r="G153" s="7" t="inlineStr">
        <is>
          <t>searched, not cited in a cell</t>
        </is>
      </c>
    </row>
    <row r="154">
      <c r="B154" s="6" t="inlineStr">
        <is>
          <t>S149</t>
        </is>
      </c>
      <c r="C154" s="6" t="inlineStr">
        <is>
          <t>Project InnerSpace Among Top Five Climate Nonprofits for 2025</t>
        </is>
      </c>
      <c r="D154" s="6" t="inlineStr">
        <is>
          <t>https://www.prnewswire.com/news-releases/project-innerspace-among-top-five-climate-nonprofits-for-2025-302608772.html</t>
        </is>
      </c>
      <c r="E154" s="6" t="inlineStr">
        <is>
          <t>2026-09-28</t>
        </is>
      </c>
      <c r="F154" s="6" t="inlineStr">
        <is>
          <t>November 7, 2025</t>
        </is>
      </c>
      <c r="G154" s="6" t="inlineStr">
        <is>
          <t>'Landscape'!B12:J12; 'Landscape'!B14</t>
        </is>
      </c>
    </row>
    <row r="155">
      <c r="B155" s="7" t="inlineStr">
        <is>
          <t>S150</t>
        </is>
      </c>
      <c r="C155" s="7" t="inlineStr">
        <is>
          <t>Project InnerSpace Becomes the Largest Nonprofit Funder of Geothermal in the World with 2025 Portfolio - But We Aren't Popping the Champagne Just Yet</t>
        </is>
      </c>
      <c r="D155" s="7" t="inlineStr">
        <is>
          <t>https://www.prnewswire.com/news-releases/project-innerspace-becomes-the-largest-nonprofit-funder-of-geothermal-in-the-world-with-2025-portfolio---but-we-arent-popping-the-champagne-just-yet-302637087.html</t>
        </is>
      </c>
      <c r="E155" s="7" t="inlineStr">
        <is>
          <t>2026-09-28</t>
        </is>
      </c>
      <c r="F155" s="7" t="inlineStr">
        <is>
          <t>December 9, 2025</t>
        </is>
      </c>
      <c r="G155" s="7" t="inlineStr">
        <is>
          <t>'Landscape'!B12:J12; 'Landscape'!B14</t>
        </is>
      </c>
    </row>
    <row r="156">
      <c r="B156" s="6" t="inlineStr">
        <is>
          <t>S151</t>
        </is>
      </c>
      <c r="C156" s="6" t="inlineStr">
        <is>
          <t>Project InnerSpace | LinkedIn</t>
        </is>
      </c>
      <c r="D156" s="6" t="inlineStr">
        <is>
          <t>https://www.linkedin.com/company/innerspace2030</t>
        </is>
      </c>
      <c r="E156" s="6" t="inlineStr">
        <is>
          <t>2026-09-28</t>
        </is>
      </c>
      <c r="F156" s="6" t="inlineStr">
        <is>
          <t>March 6, 2026</t>
        </is>
      </c>
      <c r="G156" s="6" t="inlineStr">
        <is>
          <t>'Landscape'!B12:J12; 'Landscape'!B14</t>
        </is>
      </c>
    </row>
    <row r="157">
      <c r="B157" s="7" t="inlineStr">
        <is>
          <t>S152</t>
        </is>
      </c>
      <c r="C157" s="7" t="inlineStr">
        <is>
          <t>Project InnerSpace's GeoMap</t>
        </is>
      </c>
      <c r="D157" s="7" t="inlineStr">
        <is>
          <t>https://geomap.projectinnerspace.org/map-selection/</t>
        </is>
      </c>
      <c r="E157" s="7" t="inlineStr">
        <is>
          <t>2026-09-28</t>
        </is>
      </c>
      <c r="F157" s="7" t="inlineStr"/>
      <c r="G157" s="7" t="inlineStr">
        <is>
          <t>'Landscape'!B12:J12; 'Landscape'!B14</t>
        </is>
      </c>
    </row>
    <row r="158">
      <c r="B158" s="6" t="inlineStr">
        <is>
          <t>S153</t>
        </is>
      </c>
      <c r="C158" s="6" t="inlineStr">
        <is>
          <t>GeoMap™ Beta | Project InnerSpace</t>
        </is>
      </c>
      <c r="D158" s="6" t="inlineStr">
        <is>
          <t>https://geomap.projectinnerspace.org/</t>
        </is>
      </c>
      <c r="E158" s="6" t="inlineStr">
        <is>
          <t>2026-09-28</t>
        </is>
      </c>
      <c r="F158" s="6" t="inlineStr"/>
      <c r="G158" s="6" t="inlineStr">
        <is>
          <t>searched, not cited in a cell</t>
        </is>
      </c>
    </row>
    <row r="159">
      <c r="B159" s="7" t="inlineStr">
        <is>
          <t>S154</t>
        </is>
      </c>
      <c r="C159" s="7" t="inlineStr">
        <is>
          <t xml:space="preserve">Project InnerSpace Becomes the Largest Nonprofit Funder of Geothermal in the World with 2025 Portfolio - But We Aren't Popping the Champagne Just Yet </t>
        </is>
      </c>
      <c r="D159" s="7" t="inlineStr">
        <is>
          <t>https://aijourn.com/project-innerspace-becomes-the-largest-nonprofit-funder-of-geothermal-in-the-world-with-2025-portfolio-but-we-arent-popping-the-champagne-just-yet/</t>
        </is>
      </c>
      <c r="E159" s="7" t="inlineStr">
        <is>
          <t>2026-09-28</t>
        </is>
      </c>
      <c r="F159" s="7" t="inlineStr">
        <is>
          <t>December 10, 2025</t>
        </is>
      </c>
      <c r="G159" s="7" t="inlineStr">
        <is>
          <t>searched, not cited in a cell</t>
        </is>
      </c>
    </row>
    <row r="160">
      <c r="B160" s="6" t="inlineStr">
        <is>
          <t>S155</t>
        </is>
      </c>
      <c r="C160" s="6" t="inlineStr">
        <is>
          <t>Exploration and Characterization | Department of Energy</t>
        </is>
      </c>
      <c r="D160" s="6" t="inlineStr">
        <is>
          <t>https://www.energy.gov/hgeo/geothermal/exploration-and-characterization</t>
        </is>
      </c>
      <c r="E160" s="6" t="inlineStr">
        <is>
          <t>2026-09-28</t>
        </is>
      </c>
      <c r="F160" s="6" t="inlineStr">
        <is>
          <t>August 4, 2026</t>
        </is>
      </c>
      <c r="G160" s="6" t="inlineStr">
        <is>
          <t>searched, not cited in a cell</t>
        </is>
      </c>
    </row>
    <row r="161">
      <c r="B161" s="7" t="inlineStr">
        <is>
          <t>S156</t>
        </is>
      </c>
      <c r="C161" s="7" t="inlineStr">
        <is>
          <t>Exploratory analysis of machine learning methods in predicting subsurface temperature and geothermal gradient of Northeastern United States | Geotherm</t>
        </is>
      </c>
      <c r="D161" s="7" t="inlineStr">
        <is>
          <t>https://geothermal-energy-journal.springeropen.com/articles/10.1186/s40517-021-00200-4</t>
        </is>
      </c>
      <c r="E161" s="7" t="inlineStr">
        <is>
          <t>2026-09-28</t>
        </is>
      </c>
      <c r="F161" s="7" t="inlineStr">
        <is>
          <t>July 2, 2021</t>
        </is>
      </c>
      <c r="G161" s="7" t="inlineStr">
        <is>
          <t>searched, not cited in a cell</t>
        </is>
      </c>
    </row>
    <row r="162">
      <c r="B162" s="6" t="inlineStr">
        <is>
          <t>S157</t>
        </is>
      </c>
      <c r="C162" s="6" t="inlineStr">
        <is>
          <t>Introducing GeoHEAT: Georadar-aided High-resolution Exploration for Advancing geoThermal energy usage</t>
        </is>
      </c>
      <c r="D162" s="6" t="inlineStr">
        <is>
          <t>https://arxiv.org/pdf/2511.09095</t>
        </is>
      </c>
      <c r="E162" s="6" t="inlineStr">
        <is>
          <t>2026-09-28</t>
        </is>
      </c>
      <c r="F162" s="6" t="inlineStr"/>
      <c r="G162" s="6" t="inlineStr">
        <is>
          <t>searched, not cited in a cell</t>
        </is>
      </c>
    </row>
    <row r="163">
      <c r="B163" s="7" t="inlineStr">
        <is>
          <t>S158</t>
        </is>
      </c>
      <c r="C163" s="7" t="inlineStr">
        <is>
          <t>Resource Exploration and Characterization | Geothermal Research | NREL</t>
        </is>
      </c>
      <c r="D163" s="7" t="inlineStr">
        <is>
          <t>https://www.nrel.gov/geothermal/resource-exploration-characterization</t>
        </is>
      </c>
      <c r="E163" s="7" t="inlineStr">
        <is>
          <t>2026-09-28</t>
        </is>
      </c>
      <c r="F163" s="7" t="inlineStr">
        <is>
          <t>December 7, 2025</t>
        </is>
      </c>
      <c r="G163" s="7" t="inlineStr">
        <is>
          <t>searched, not cited in a cell</t>
        </is>
      </c>
    </row>
    <row r="164">
      <c r="B164" s="6" t="inlineStr">
        <is>
          <t>S159</t>
        </is>
      </c>
      <c r="C164" s="6" t="inlineStr">
        <is>
          <t>The UK and Ireland Geophysical Array -- Concept and Design</t>
        </is>
      </c>
      <c r="D164" s="6" t="inlineStr">
        <is>
          <t>https://arxiv.org/pdf/2602.20984</t>
        </is>
      </c>
      <c r="E164" s="6" t="inlineStr">
        <is>
          <t>2026-09-28</t>
        </is>
      </c>
      <c r="F164" s="6" t="inlineStr"/>
      <c r="G164" s="6" t="inlineStr">
        <is>
          <t>searched, not cited in a cell</t>
        </is>
      </c>
    </row>
    <row r="165">
      <c r="B165" s="7" t="inlineStr">
        <is>
          <t>S160</t>
        </is>
      </c>
      <c r="C165" s="7" t="inlineStr">
        <is>
          <t>The State of Geothermal Technology Part I: Subsurface Technology</t>
        </is>
      </c>
      <c r="D165" s="7" t="inlineStr">
        <is>
          <t>https://www.geothermal.org/sites/default/files/2021-02/Geothermal_Technology_Part_I-Subsurface_Technology.pdf</t>
        </is>
      </c>
      <c r="E165" s="7" t="inlineStr">
        <is>
          <t>2026-09-28</t>
        </is>
      </c>
      <c r="F165" s="7" t="inlineStr"/>
      <c r="G165" s="7" t="inlineStr">
        <is>
          <t>searched, not cited in a cell</t>
        </is>
      </c>
    </row>
    <row r="166">
      <c r="B166" s="6" t="inlineStr">
        <is>
          <t>S161</t>
        </is>
      </c>
      <c r="C166" s="6" t="inlineStr">
        <is>
          <t>Zanskar company information, funding &amp; investors | Dealroom.co</t>
        </is>
      </c>
      <c r="D166" s="6" t="inlineStr">
        <is>
          <t>https://app.dealroom.co/companies/zanskar</t>
        </is>
      </c>
      <c r="E166" s="6" t="inlineStr">
        <is>
          <t>2026-09-28</t>
        </is>
      </c>
      <c r="F166" s="6" t="inlineStr"/>
      <c r="G166" s="6" t="inlineStr">
        <is>
          <t>searched, not cited in a cell</t>
        </is>
      </c>
    </row>
    <row r="167">
      <c r="B167" s="7" t="inlineStr">
        <is>
          <t>S162</t>
        </is>
      </c>
      <c r="C167" s="7" t="inlineStr">
        <is>
          <t>New Coal-Killing Geothermal Energy Anomalies Found In US</t>
        </is>
      </c>
      <c r="D167" s="7" t="inlineStr">
        <is>
          <t>https://cleantechnica.com/2026/01/21/new-coal-killing-geothermal-energy-anomalies-discovered-in-the-us/</t>
        </is>
      </c>
      <c r="E167" s="7" t="inlineStr">
        <is>
          <t>2026-09-28</t>
        </is>
      </c>
      <c r="F167" s="7" t="inlineStr">
        <is>
          <t>January 21, 2026</t>
        </is>
      </c>
      <c r="G167" s="7" t="inlineStr">
        <is>
          <t>searched, not cited in a cell</t>
        </is>
      </c>
    </row>
    <row r="168">
      <c r="B168" s="6" t="inlineStr">
        <is>
          <t>S163</t>
        </is>
      </c>
      <c r="C168" s="6" t="inlineStr">
        <is>
          <t>Zanskar - Company Profile</t>
        </is>
      </c>
      <c r="D168" s="6" t="inlineStr">
        <is>
          <t>https://www.boringbusinessnerd.com/startups/zanskar</t>
        </is>
      </c>
      <c r="E168" s="6" t="inlineStr">
        <is>
          <t>2026-09-28</t>
        </is>
      </c>
      <c r="F168" s="6" t="inlineStr"/>
      <c r="G168" s="6" t="inlineStr">
        <is>
          <t>searched, not cited in a cell</t>
        </is>
      </c>
    </row>
    <row r="169">
      <c r="B169" s="7" t="inlineStr">
        <is>
          <t>S164</t>
        </is>
      </c>
      <c r="C169" s="7" t="inlineStr">
        <is>
          <t>Zanskar Announces $12M Series A Funding for Geothermal Discovery Tech</t>
        </is>
      </c>
      <c r="D169" s="7" t="inlineStr">
        <is>
          <t>https://utah.vc/p/zanskar-announces-12m-series-a-funding</t>
        </is>
      </c>
      <c r="E169" s="7" t="inlineStr">
        <is>
          <t>2026-09-28</t>
        </is>
      </c>
      <c r="F169" s="7" t="inlineStr">
        <is>
          <t>February 13, 2023</t>
        </is>
      </c>
      <c r="G169" s="7" t="inlineStr">
        <is>
          <t>searched, not cited in a cell</t>
        </is>
      </c>
    </row>
    <row r="170">
      <c r="B170" s="6" t="inlineStr">
        <is>
          <t>S165</t>
        </is>
      </c>
      <c r="C170" s="6" t="inlineStr">
        <is>
          <t>The Manageable Risks of Conventional Hydrothermal Geothermal Power Systems</t>
        </is>
      </c>
      <c r="D170" s="6" t="inlineStr">
        <is>
          <t>https://geothermal.org/sites/default/files/2021-02/Geothermal_Risks_Publication.pdf</t>
        </is>
      </c>
      <c r="E170" s="6" t="inlineStr">
        <is>
          <t>2026-09-28</t>
        </is>
      </c>
      <c r="F170" s="6" t="inlineStr">
        <is>
          <t>February 4, 2014</t>
        </is>
      </c>
      <c r="G170" s="6" t="inlineStr">
        <is>
          <t>searched, not cited in a cell</t>
        </is>
      </c>
    </row>
    <row r="171">
      <c r="B171" s="7" t="inlineStr">
        <is>
          <t>S166</t>
        </is>
      </c>
      <c r="C171" s="7" t="inlineStr">
        <is>
          <t>Geothermal Exploration Policy Mechanisms: Lessons for the United States from International Applications (Technical Report) | OSTI.GOV</t>
        </is>
      </c>
      <c r="D171" s="7" t="inlineStr">
        <is>
          <t>https://www.osti.gov/biblio/1134132</t>
        </is>
      </c>
      <c r="E171" s="7" t="inlineStr">
        <is>
          <t>2026-09-28</t>
        </is>
      </c>
      <c r="F171" s="7" t="inlineStr">
        <is>
          <t>May 1, 2014</t>
        </is>
      </c>
      <c r="G171" s="7" t="inlineStr">
        <is>
          <t>searched, not cited in a cell</t>
        </is>
      </c>
    </row>
    <row r="172">
      <c r="B172" s="6" t="inlineStr">
        <is>
          <t>S167</t>
        </is>
      </c>
      <c r="C172" s="6" t="inlineStr">
        <is>
          <t>Geothermal Appraisal Risk Program - C3 Solutions</t>
        </is>
      </c>
      <c r="D172" s="6" t="inlineStr">
        <is>
          <t>https://c3solutions.org/policy-paper/geothermal-appraisal-risk-program/</t>
        </is>
      </c>
      <c r="E172" s="6" t="inlineStr">
        <is>
          <t>2026-09-28</t>
        </is>
      </c>
      <c r="F172" s="6" t="inlineStr">
        <is>
          <t>May 27, 2026</t>
        </is>
      </c>
      <c r="G172" s="6" t="inlineStr">
        <is>
          <t>searched, not cited in a cell</t>
        </is>
      </c>
    </row>
    <row r="173">
      <c r="B173" s="7" t="inlineStr">
        <is>
          <t>S168</t>
        </is>
      </c>
      <c r="C173" s="7" t="inlineStr">
        <is>
          <t>Geothermal Drilling Research | Department of Energy</t>
        </is>
      </c>
      <c r="D173" s="7" t="inlineStr">
        <is>
          <t>https://www.energy.gov/hgeo/geothermal/geothermal-drilling-research</t>
        </is>
      </c>
      <c r="E173" s="7" t="inlineStr">
        <is>
          <t>2026-09-28</t>
        </is>
      </c>
      <c r="F173" s="7" t="inlineStr">
        <is>
          <t>4 weeks ago</t>
        </is>
      </c>
      <c r="G173" s="7" t="inlineStr">
        <is>
          <t>searched, not cited in a cell</t>
        </is>
      </c>
    </row>
    <row r="174">
      <c r="B174" s="6" t="inlineStr">
        <is>
          <t>S169</t>
        </is>
      </c>
      <c r="C174" s="6" t="inlineStr">
        <is>
          <t>Assessment criteria and risk mitigation of hydrogeothermal energy portfolios for district heating | Communications Engineering</t>
        </is>
      </c>
      <c r="D174" s="6" t="inlineStr">
        <is>
          <t>https://www.nature.com/articles/s44172-025-00478-3</t>
        </is>
      </c>
      <c r="E174" s="6" t="inlineStr">
        <is>
          <t>2026-09-28</t>
        </is>
      </c>
      <c r="F174" s="6" t="inlineStr">
        <is>
          <t>July 30, 2025</t>
        </is>
      </c>
      <c r="G174" s="6" t="inlineStr">
        <is>
          <t>searched, not cited in a cell</t>
        </is>
      </c>
    </row>
    <row r="175">
      <c r="B175" s="7" t="inlineStr">
        <is>
          <t>S170</t>
        </is>
      </c>
      <c r="C175" s="7" t="inlineStr">
        <is>
          <t>Geothermal Energy Risks → Term</t>
        </is>
      </c>
      <c r="D175" s="7" t="inlineStr">
        <is>
          <t>https://climate.sustainability-directory.com/term/geothermal-energy-risks/</t>
        </is>
      </c>
      <c r="E175" s="7" t="inlineStr">
        <is>
          <t>2026-09-28</t>
        </is>
      </c>
      <c r="F175" s="7" t="inlineStr">
        <is>
          <t>April 8, 2025</t>
        </is>
      </c>
      <c r="G175" s="7" t="inlineStr">
        <is>
          <t>searched, not cited in a cell</t>
        </is>
      </c>
    </row>
    <row r="176">
      <c r="B176" s="6" t="inlineStr">
        <is>
          <t>S171</t>
        </is>
      </c>
      <c r="C176" s="6" t="inlineStr">
        <is>
          <t>Part IV – Geo-techno-economic and environmental</t>
        </is>
      </c>
      <c r="D176" s="6" t="inlineStr">
        <is>
          <t>https://dtp.interreg-danube.eu/uploads/media/approved_project_output/0001/09/48e31770edc664cbe662dcf28aa68fc83ee57075.pdf</t>
        </is>
      </c>
      <c r="E176" s="6" t="inlineStr">
        <is>
          <t>2026-09-28</t>
        </is>
      </c>
      <c r="F176" s="6" t="inlineStr"/>
      <c r="G176" s="6" t="inlineStr">
        <is>
          <t>searched, not cited in a cell</t>
        </is>
      </c>
    </row>
    <row r="177">
      <c r="B177" s="7" t="inlineStr">
        <is>
          <t>S172</t>
        </is>
      </c>
      <c r="C177" s="7" t="inlineStr">
        <is>
          <t>Resource Exploration and Characterization | Geothermal Research | NLR</t>
        </is>
      </c>
      <c r="D177" s="7" t="inlineStr">
        <is>
          <t>https://www.nlr.gov/geothermal/resource-exploration-characterization</t>
        </is>
      </c>
      <c r="E177" s="7" t="inlineStr">
        <is>
          <t>2026-09-28</t>
        </is>
      </c>
      <c r="F177" s="7" t="inlineStr">
        <is>
          <t>April 21, 2026</t>
        </is>
      </c>
      <c r="G177" s="7" t="inlineStr">
        <is>
          <t>searched, not cited in a cell</t>
        </is>
      </c>
    </row>
    <row r="178">
      <c r="B178" s="6" t="inlineStr">
        <is>
          <t>S173</t>
        </is>
      </c>
      <c r="C178" s="6" t="inlineStr">
        <is>
          <t>Pro-geothermal policies being pushed in the US at federal, state levels</t>
        </is>
      </c>
      <c r="D178" s="6" t="inlineStr">
        <is>
          <t>https://www.thinkgeoenergy.com/pro-geothermal-policies-being-pushed-in-the-us-at-federal-state-levels/</t>
        </is>
      </c>
      <c r="E178" s="6" t="inlineStr">
        <is>
          <t>2026-09-28</t>
        </is>
      </c>
      <c r="F178" s="6" t="inlineStr">
        <is>
          <t>June 14, 2024</t>
        </is>
      </c>
      <c r="G178" s="6" t="inlineStr">
        <is>
          <t>searched, not cited in a cell</t>
        </is>
      </c>
    </row>
    <row r="179">
      <c r="B179" s="7" t="inlineStr">
        <is>
          <t>S174</t>
        </is>
      </c>
      <c r="C179" s="7" t="inlineStr">
        <is>
          <t>Geothermal Permitting and NEPA Timeline Analysis (Dataset) | DOE Data Explorer</t>
        </is>
      </c>
      <c r="D179" s="7" t="inlineStr">
        <is>
          <t>https://www.osti.gov/dataexplorer/biblio/dataset/1678730</t>
        </is>
      </c>
      <c r="E179" s="7" t="inlineStr">
        <is>
          <t>2026-09-28</t>
        </is>
      </c>
      <c r="F179" s="7" t="inlineStr">
        <is>
          <t>September 30, 2014</t>
        </is>
      </c>
      <c r="G179" s="7" t="inlineStr">
        <is>
          <t>searched, not cited in a cell</t>
        </is>
      </c>
    </row>
    <row r="180">
      <c r="B180" s="6" t="inlineStr">
        <is>
          <t>S175</t>
        </is>
      </c>
      <c r="C180" s="6" t="inlineStr">
        <is>
          <t>A Clear Path for Geothermal Permitting: Cutting Delays, Driving Deployment</t>
        </is>
      </c>
      <c r="D180" s="6" t="inlineStr">
        <is>
          <t>https://www.congress.gov/119/meeting/house/118743/documents/HHRG-119-II06-20251216-SD006.pdf</t>
        </is>
      </c>
      <c r="E180" s="6" t="inlineStr">
        <is>
          <t>2026-09-28</t>
        </is>
      </c>
      <c r="F180" s="6" t="inlineStr"/>
      <c r="G180" s="6" t="inlineStr">
        <is>
          <t>searched, not cited in a cell</t>
        </is>
      </c>
    </row>
    <row r="181">
      <c r="B181" s="7" t="inlineStr">
        <is>
          <t>S176</t>
        </is>
      </c>
      <c r="C181" s="7" t="inlineStr">
        <is>
          <t>Department of Energy - Geothermal Permitting and NEPA Timeline Analysis</t>
        </is>
      </c>
      <c r="D181" s="7" t="inlineStr">
        <is>
          <t>https://catalog.data.gov/dataset/geothermal-permitting-and-nepa-timeline-analysis</t>
        </is>
      </c>
      <c r="E181" s="7" t="inlineStr">
        <is>
          <t>2026-09-28</t>
        </is>
      </c>
      <c r="F181" s="7" t="inlineStr">
        <is>
          <t>May 17, 2021</t>
        </is>
      </c>
      <c r="G181" s="7" t="inlineStr">
        <is>
          <t>searched, not cited in a cell</t>
        </is>
      </c>
    </row>
    <row r="182">
      <c r="B182" s="6" t="inlineStr">
        <is>
          <t>S177</t>
        </is>
      </c>
      <c r="C182" s="6" t="inlineStr">
        <is>
          <t>Geothermal Permitting and NEPA Timeline Analysis (Dataset) | OSTI.GOV</t>
        </is>
      </c>
      <c r="D182" s="6" t="inlineStr">
        <is>
          <t>https://www.osti.gov/biblio/1678730</t>
        </is>
      </c>
      <c r="E182" s="6" t="inlineStr">
        <is>
          <t>2026-09-28</t>
        </is>
      </c>
      <c r="F182" s="6" t="inlineStr">
        <is>
          <t>September 30, 2014</t>
        </is>
      </c>
      <c r="G182" s="6" t="inlineStr">
        <is>
          <t>searched, not cited in a cell</t>
        </is>
      </c>
    </row>
    <row r="183">
      <c r="B183" s="7" t="inlineStr">
        <is>
          <t>S178</t>
        </is>
      </c>
      <c r="C183" s="7" t="inlineStr">
        <is>
          <t>GDR: Geothermal Permitting and NEPA Timeline Analysis</t>
        </is>
      </c>
      <c r="D183" s="7" t="inlineStr">
        <is>
          <t>https://gdr.openei.org/submissions/1258</t>
        </is>
      </c>
      <c r="E183" s="7" t="inlineStr">
        <is>
          <t>2026-09-28</t>
        </is>
      </c>
      <c r="F183" s="7" t="inlineStr">
        <is>
          <t>September 30, 2014</t>
        </is>
      </c>
      <c r="G183" s="7" t="inlineStr">
        <is>
          <t>searched, not cited in a cell</t>
        </is>
      </c>
    </row>
    <row r="184">
      <c r="B184" s="6" t="inlineStr">
        <is>
          <t>S179</t>
        </is>
      </c>
      <c r="C184" s="6" t="inlineStr">
        <is>
          <t>Economic Impact of Permitting Timelines on Produced Geothermal Power (Dataset) | DOE Data Explorer</t>
        </is>
      </c>
      <c r="D184" s="6" t="inlineStr">
        <is>
          <t>https://www.osti.gov/dataexplorer/biblio/dataset/1845285</t>
        </is>
      </c>
      <c r="E184" s="6" t="inlineStr">
        <is>
          <t>2026-09-28</t>
        </is>
      </c>
      <c r="F184" s="6" t="inlineStr">
        <is>
          <t>February 14, 2022</t>
        </is>
      </c>
      <c r="G184" s="6" t="inlineStr">
        <is>
          <t>searched, not cited in a cell</t>
        </is>
      </c>
    </row>
    <row r="185">
      <c r="B185" s="7" t="inlineStr">
        <is>
          <t>S180</t>
        </is>
      </c>
      <c r="C185" s="7" t="inlineStr">
        <is>
          <t>GRC Transactions, Vol. 38, 2014 893 Geothermal Permitting and NEPA Timelines</t>
        </is>
      </c>
      <c r="D185" s="7" t="inlineStr">
        <is>
          <t>https://gdr.openei.org/files/1258/Geothermal%20Permitting%20and%20NEPA%20Timeline%20Analysis%20-%20FINAL.pdf</t>
        </is>
      </c>
      <c r="E185" s="7" t="inlineStr">
        <is>
          <t>2026-09-28</t>
        </is>
      </c>
      <c r="F185" s="7" t="inlineStr"/>
      <c r="G185" s="7" t="inlineStr">
        <is>
          <t>searched, not cited in a cell</t>
        </is>
      </c>
    </row>
    <row r="186">
      <c r="B186" s="6" t="inlineStr">
        <is>
          <t>S181</t>
        </is>
      </c>
      <c r="C186" s="6" t="inlineStr">
        <is>
          <t>Geothermal Energy Needs Permitting Reform | IFP</t>
        </is>
      </c>
      <c r="D186" s="6" t="inlineStr">
        <is>
          <t>https://ifp.org/geothermal-energy-needs-permitting-reform/</t>
        </is>
      </c>
      <c r="E186" s="6" t="inlineStr">
        <is>
          <t>2026-09-28</t>
        </is>
      </c>
      <c r="F186" s="6" t="inlineStr">
        <is>
          <t>November 6, 2023</t>
        </is>
      </c>
      <c r="G186" s="6" t="inlineStr">
        <is>
          <t>searched, not cited in a cell</t>
        </is>
      </c>
    </row>
    <row r="187">
      <c r="B187" s="7" t="inlineStr">
        <is>
          <t>S182</t>
        </is>
      </c>
      <c r="C187" s="7" t="inlineStr">
        <is>
          <t>Business Energy Investment Tax Credit</t>
        </is>
      </c>
      <c r="D187" s="7" t="inlineStr">
        <is>
          <t>https://en.wikipedia.org/wiki/Business_Energy_Investment_Tax_Credit</t>
        </is>
      </c>
      <c r="E187" s="7" t="inlineStr">
        <is>
          <t>2026-09-28</t>
        </is>
      </c>
      <c r="F187" s="7" t="inlineStr"/>
      <c r="G187" s="7" t="inlineStr">
        <is>
          <t>searched, not cited in a cell</t>
        </is>
      </c>
    </row>
    <row r="188">
      <c r="B188" s="6" t="inlineStr">
        <is>
          <t>S183</t>
        </is>
      </c>
      <c r="C188" s="6" t="inlineStr">
        <is>
          <t>Inflation Reduction Act</t>
        </is>
      </c>
      <c r="D188" s="6" t="inlineStr">
        <is>
          <t>https://en.wikipedia.org/wiki/Inflation_Reduction_Act</t>
        </is>
      </c>
      <c r="E188" s="6" t="inlineStr">
        <is>
          <t>2026-09-28</t>
        </is>
      </c>
      <c r="F188" s="6" t="inlineStr"/>
      <c r="G188" s="6" t="inlineStr">
        <is>
          <t>searched, not cited in a cell</t>
        </is>
      </c>
    </row>
    <row r="189">
      <c r="B189" s="7" t="inlineStr">
        <is>
          <t>S184</t>
        </is>
      </c>
      <c r="C189" s="7" t="inlineStr">
        <is>
          <t>Geothermal energy in the United States</t>
        </is>
      </c>
      <c r="D189" s="7" t="inlineStr">
        <is>
          <t>https://en.wikipedia.org/wiki/Geothermal_energy_in_the_United_States</t>
        </is>
      </c>
      <c r="E189" s="7" t="inlineStr">
        <is>
          <t>2026-09-28</t>
        </is>
      </c>
      <c r="F189" s="7" t="inlineStr"/>
      <c r="G189" s="7" t="inlineStr">
        <is>
          <t>searched, not cited in a cell</t>
        </is>
      </c>
    </row>
    <row r="190">
      <c r="B190" s="6" t="inlineStr">
        <is>
          <t>S185</t>
        </is>
      </c>
      <c r="C190" s="6" t="inlineStr">
        <is>
          <t>Family and Small Business Taxpayer Protection Act</t>
        </is>
      </c>
      <c r="D190" s="6" t="inlineStr">
        <is>
          <t>https://en.wikipedia.org/wiki/Family_and_Small_Business_Taxpayer_Protection_Act</t>
        </is>
      </c>
      <c r="E190" s="6" t="inlineStr">
        <is>
          <t>2026-09-28</t>
        </is>
      </c>
      <c r="F190" s="6" t="inlineStr"/>
      <c r="G190" s="6" t="inlineStr">
        <is>
          <t>searched, not cited in a cell</t>
        </is>
      </c>
    </row>
    <row r="191">
      <c r="B191" s="7" t="inlineStr">
        <is>
          <t>S186</t>
        </is>
      </c>
      <c r="C191" s="7" t="inlineStr">
        <is>
          <t>Geothermal energy in Lebanon</t>
        </is>
      </c>
      <c r="D191" s="7" t="inlineStr">
        <is>
          <t>https://en.wikipedia.org/wiki/Geothermal_energy_in_Lebanon</t>
        </is>
      </c>
      <c r="E191" s="7" t="inlineStr">
        <is>
          <t>2026-09-28</t>
        </is>
      </c>
      <c r="F191" s="7" t="inlineStr"/>
      <c r="G191" s="7" t="inlineStr">
        <is>
          <t>searched, not cited in a cell</t>
        </is>
      </c>
    </row>
    <row r="192">
      <c r="B192" s="6" t="inlineStr">
        <is>
          <t>S187</t>
        </is>
      </c>
      <c r="C192" s="6" t="inlineStr">
        <is>
          <t>Geothermal Energy Research, Development, and Demonstration Act of 1974</t>
        </is>
      </c>
      <c r="D192" s="6" t="inlineStr">
        <is>
          <t>https://en.wikipedia.org/wiki/Geothermal_Energy_Research,_Development,_and_Demonstration_Act_of_1974</t>
        </is>
      </c>
      <c r="E192" s="6" t="inlineStr">
        <is>
          <t>2026-09-28</t>
        </is>
      </c>
      <c r="F192" s="6" t="inlineStr"/>
      <c r="G192" s="6" t="inlineStr">
        <is>
          <t>searched, not cited in a cell</t>
        </is>
      </c>
    </row>
    <row r="193">
      <c r="B193" s="7" t="inlineStr">
        <is>
          <t>S188</t>
        </is>
      </c>
      <c r="C193" s="7" t="inlineStr">
        <is>
          <t>AltaRock Energy</t>
        </is>
      </c>
      <c r="D193" s="7" t="inlineStr">
        <is>
          <t>https://en.wikipedia.org/wiki/AltaRock_Energy</t>
        </is>
      </c>
      <c r="E193" s="7" t="inlineStr">
        <is>
          <t>2026-09-28</t>
        </is>
      </c>
      <c r="F193" s="7" t="inlineStr"/>
      <c r="G193" s="7" t="inlineStr">
        <is>
          <t>searched, not cited in a cell</t>
        </is>
      </c>
    </row>
    <row r="194">
      <c r="B194" s="6" t="inlineStr">
        <is>
          <t>S189</t>
        </is>
      </c>
      <c r="C194" s="6" t="inlineStr">
        <is>
          <t>Railroad Track Maintenance Tax Credit</t>
        </is>
      </c>
      <c r="D194" s="6" t="inlineStr">
        <is>
          <t>https://en.wikipedia.org/wiki/Railroad_Track_Maintenance_Tax_Credit</t>
        </is>
      </c>
      <c r="E194" s="6" t="inlineStr">
        <is>
          <t>2026-09-28</t>
        </is>
      </c>
      <c r="F194" s="6" t="inlineStr"/>
      <c r="G194" s="6" t="inlineStr">
        <is>
          <t>searched, not cited in a cell</t>
        </is>
      </c>
    </row>
    <row r="195">
      <c r="B195" s="7" t="inlineStr">
        <is>
          <t>S190</t>
        </is>
      </c>
      <c r="C195" s="7" t="inlineStr">
        <is>
          <t>“One Big Beautiful Bill Act” Brings Big Changes to Green Energy Tax Credits | Publications | Kirkland &amp; Ellis LLP</t>
        </is>
      </c>
      <c r="D195" s="7" t="inlineStr">
        <is>
          <t>https://www.kirkland.com/publications/kirkland-alert/2025/08/one-big-beautiful-bill-act-brings-big-changes-to-green-energy-tax-credits</t>
        </is>
      </c>
      <c r="E195" s="7" t="inlineStr">
        <is>
          <t>2026-09-28</t>
        </is>
      </c>
      <c r="F195" s="7" t="inlineStr"/>
      <c r="G195" s="7" t="inlineStr">
        <is>
          <t>searched, not cited in a cell</t>
        </is>
      </c>
    </row>
    <row r="196">
      <c r="B196" s="6" t="inlineStr">
        <is>
          <t>S191</t>
        </is>
      </c>
      <c r="C196" s="6" t="inlineStr">
        <is>
          <t>How the One Big Beautiful Bill Changes Green Energy Tax Credits</t>
        </is>
      </c>
      <c r="D196" s="6" t="inlineStr">
        <is>
          <t>https://taxfoundation.org/blog/big-beautiful-bill-green-energy-tax-credit-changes/</t>
        </is>
      </c>
      <c r="E196" s="6" t="inlineStr">
        <is>
          <t>2026-09-28</t>
        </is>
      </c>
      <c r="F196" s="6" t="inlineStr">
        <is>
          <t>August 12, 2025</t>
        </is>
      </c>
      <c r="G196" s="6" t="inlineStr">
        <is>
          <t>searched, not cited in a cell</t>
        </is>
      </c>
    </row>
    <row r="197">
      <c r="B197" s="7" t="inlineStr">
        <is>
          <t>S192</t>
        </is>
      </c>
      <c r="C197" s="7" t="inlineStr">
        <is>
          <t>Tax Credits, Incentives, and Technical Assistance for Geothermal Heat Pumps | Department of Energy</t>
        </is>
      </c>
      <c r="D197" s="7" t="inlineStr">
        <is>
          <t>https://www.energy.gov/hgeo/geothermal/tax-credits-incentives-and-technical-assistance-geothermal-heat-pumps</t>
        </is>
      </c>
      <c r="E197" s="7" t="inlineStr">
        <is>
          <t>2026-09-28</t>
        </is>
      </c>
      <c r="F197" s="7" t="inlineStr">
        <is>
          <t>4 weeks ago</t>
        </is>
      </c>
      <c r="G197" s="7" t="inlineStr">
        <is>
          <t>searched, not cited in a cell</t>
        </is>
      </c>
    </row>
    <row r="198">
      <c r="B198" s="6" t="inlineStr">
        <is>
          <t>S193</t>
        </is>
      </c>
      <c r="C198" s="6" t="inlineStr">
        <is>
          <t>2025 Reconciliation Debate: One Big Beautiful Bill Act Energy Provisions</t>
        </is>
      </c>
      <c r="D198" s="6" t="inlineStr">
        <is>
          <t>https://bipartisanpolicy.org/explainer/2025-reconciliation-debate-one-big-beautiful-bill-act-energy-provisions/</t>
        </is>
      </c>
      <c r="E198" s="6" t="inlineStr">
        <is>
          <t>2026-09-28</t>
        </is>
      </c>
      <c r="F198" s="6" t="inlineStr">
        <is>
          <t>January 24, 2026</t>
        </is>
      </c>
      <c r="G198" s="6" t="inlineStr">
        <is>
          <t>searched, not cited in a cell</t>
        </is>
      </c>
    </row>
    <row r="199">
      <c r="B199" s="7" t="inlineStr">
        <is>
          <t>S194</t>
        </is>
      </c>
      <c r="C199" s="7" t="inlineStr">
        <is>
          <t>Final budget reconciliation bill has major implications for geothermal and solar tax credits</t>
        </is>
      </c>
      <c r="D199" s="7" t="inlineStr">
        <is>
          <t>https://www.ngwa.org/detail/news/2025/07/07/final-budget-reconciliation-bill-has-major-implications-for-geothermal-and-solar-tax-credits</t>
        </is>
      </c>
      <c r="E199" s="7" t="inlineStr">
        <is>
          <t>2026-09-28</t>
        </is>
      </c>
      <c r="F199" s="7" t="inlineStr">
        <is>
          <t>July 7, 2025</t>
        </is>
      </c>
      <c r="G199" s="7" t="inlineStr">
        <is>
          <t>searched, not cited in a cell</t>
        </is>
      </c>
    </row>
    <row r="200">
      <c r="B200" s="6" t="inlineStr">
        <is>
          <t>S195</t>
        </is>
      </c>
      <c r="C200" s="6" t="inlineStr">
        <is>
          <t>Effects Of "One Big Beautiful Bill" On Projects</t>
        </is>
      </c>
      <c r="D200" s="6" t="inlineStr">
        <is>
          <t>https://www.projectfinance.law/publications/effects-of-one-big-beautiful-bill-on-projects</t>
        </is>
      </c>
      <c r="E200" s="6" t="inlineStr">
        <is>
          <t>2026-09-28</t>
        </is>
      </c>
      <c r="F200" s="6" t="inlineStr">
        <is>
          <t>May 14, 2026</t>
        </is>
      </c>
      <c r="G200" s="6" t="inlineStr">
        <is>
          <t>searched, not cited in a cell</t>
        </is>
      </c>
    </row>
    <row r="201">
      <c r="B201" s="7" t="inlineStr">
        <is>
          <t>S196</t>
        </is>
      </c>
      <c r="C201" s="7" t="inlineStr">
        <is>
          <t>The “One Big Beautiful Bill” Act – Navigating the New Energy Landscape | Insights | Sidley Austin LLP</t>
        </is>
      </c>
      <c r="D201" s="7" t="inlineStr">
        <is>
          <t>https://www.sidley.com/en/insights/newsupdates/2025/07/the-one-big-beautiful-bill-act-navigating-the-new-energy-landscape</t>
        </is>
      </c>
      <c r="E201" s="7" t="inlineStr">
        <is>
          <t>2026-09-28</t>
        </is>
      </c>
      <c r="F201" s="7" t="inlineStr">
        <is>
          <t>March 26, 2026</t>
        </is>
      </c>
      <c r="G201" s="7" t="inlineStr">
        <is>
          <t>searched, not cited in a cell</t>
        </is>
      </c>
    </row>
    <row r="202">
      <c r="B202" s="6" t="inlineStr">
        <is>
          <t>S197</t>
        </is>
      </c>
      <c r="C202" s="6" t="inlineStr">
        <is>
          <t>One Big Beautiful Bill: New Law Disrupts Clean Energy Investment</t>
        </is>
      </c>
      <c r="D202" s="6" t="inlineStr">
        <is>
          <t>https://www.lw.com/en/insights/one-big-beautiful-bill-new-law-disrupts-clean-energy-investment</t>
        </is>
      </c>
      <c r="E202" s="6" t="inlineStr">
        <is>
          <t>2026-09-28</t>
        </is>
      </c>
      <c r="F202" s="6" t="inlineStr"/>
      <c r="G202" s="6" t="inlineStr">
        <is>
          <t>searched, not cited in a cell</t>
        </is>
      </c>
    </row>
    <row r="203">
      <c r="B203" s="7" t="inlineStr">
        <is>
          <t>S198</t>
        </is>
      </c>
      <c r="C203" s="7" t="inlineStr">
        <is>
          <t>The Final One Big Beautiful Bill Act is Bad News for Solar, Wind, Home Energy Efficiency, Other Clean Energy Tax Credits | Novogradac</t>
        </is>
      </c>
      <c r="D203" s="7" t="inlineStr">
        <is>
          <t>https://www.novoco.com/notes-from-novogradac/the-final-one-big-beautiful-bill-act-is-bad-news-for-solar-wind-home-energy-efficiency-other-clean-energy-tax-credits</t>
        </is>
      </c>
      <c r="E203" s="7" t="inlineStr">
        <is>
          <t>2026-09-28</t>
        </is>
      </c>
      <c r="F203" s="7" t="inlineStr"/>
      <c r="G203" s="7" t="inlineStr">
        <is>
          <t>searched, not cited in a cell</t>
        </is>
      </c>
    </row>
    <row r="204">
      <c r="B204" s="6" t="inlineStr">
        <is>
          <t>E1</t>
        </is>
      </c>
      <c r="C204" s="6" t="inlineStr">
        <is>
          <t>ERW list_tables</t>
        </is>
      </c>
      <c r="D204" s="6" t="inlineStr">
        <is>
          <t>https://github.com/SamuelEnrique/erw (list_tables)</t>
        </is>
      </c>
      <c r="E204" s="6" t="inlineStr">
        <is>
          <t>2026-09-28</t>
        </is>
      </c>
      <c r="F204" s="6" t="inlineStr"/>
      <c r="G204" s="6" t="inlineStr">
        <is>
          <t>queried, not cited in a cell</t>
        </is>
      </c>
    </row>
    <row r="205">
      <c r="B205" s="7" t="inlineStr">
        <is>
          <t>E2</t>
        </is>
      </c>
      <c r="C205" s="7" t="inlineStr">
        <is>
          <t>ERW describe_table eia860m_operating_generators</t>
        </is>
      </c>
      <c r="D205" s="7" t="inlineStr">
        <is>
          <t>https://github.com/SamuelEnrique/erw (eia860m_operating_generators)</t>
        </is>
      </c>
      <c r="E205" s="7" t="inlineStr">
        <is>
          <t>2026-09-28</t>
        </is>
      </c>
      <c r="F205" s="7" t="inlineStr"/>
      <c r="G205" s="7" t="inlineStr">
        <is>
          <t>queried, not cited in a cell</t>
        </is>
      </c>
    </row>
    <row r="206">
      <c r="B206" s="6" t="inlineStr">
        <is>
          <t>E3</t>
        </is>
      </c>
      <c r="C206" s="6" t="inlineStr">
        <is>
          <t>ERW list_tables</t>
        </is>
      </c>
      <c r="D206" s="6" t="inlineStr">
        <is>
          <t>https://github.com/SamuelEnrique/erw (list_tables)</t>
        </is>
      </c>
      <c r="E206" s="6" t="inlineStr">
        <is>
          <t>2026-09-28</t>
        </is>
      </c>
      <c r="F206" s="6" t="inlineStr"/>
      <c r="G206" s="6" t="inlineStr">
        <is>
          <t>queried, not cited in a cell</t>
        </is>
      </c>
    </row>
    <row r="207">
      <c r="B207" s="7" t="inlineStr">
        <is>
          <t>E4</t>
        </is>
      </c>
      <c r="C207" s="7" t="inlineStr">
        <is>
          <t>ERW query eia860m_operating_generators</t>
        </is>
      </c>
      <c r="D207" s="7" t="inlineStr">
        <is>
          <t>https://github.com/SamuelEnrique/erw (eia860m_operating_generators)</t>
        </is>
      </c>
      <c r="E207" s="7" t="inlineStr">
        <is>
          <t>2026-09-28</t>
        </is>
      </c>
      <c r="F207" s="7" t="inlineStr"/>
      <c r="G207" s="7" t="inlineStr">
        <is>
          <t>'Fundamentals'!B7:F7; 'Fundamentals'!B29; 'Trends'!B7:D7; 'Trends'!B8:D8; 'Trends'!B9:D9; 'Trends'!B10:D10; 'Trends'!B26</t>
        </is>
      </c>
    </row>
    <row r="208">
      <c r="B208" s="6" t="inlineStr">
        <is>
          <t>E5</t>
        </is>
      </c>
      <c r="C208" s="6" t="inlineStr">
        <is>
          <t>ERW query eia860m_operating_generators</t>
        </is>
      </c>
      <c r="D208" s="6" t="inlineStr">
        <is>
          <t>https://github.com/SamuelEnrique/erw (eia860m_operating_generators)</t>
        </is>
      </c>
      <c r="E208" s="6" t="inlineStr">
        <is>
          <t>2026-09-28</t>
        </is>
      </c>
      <c r="F208" s="6" t="inlineStr"/>
      <c r="G208" s="6" t="inlineStr">
        <is>
          <t>'Fundamentals'!B9:F9; 'Fundamentals'!B10:F10; 'Fundamentals'!B29; 'Trends'!B7:D7; 'Trends'!B8:D8; 'Trends'!B9:D9; 'Trends'!B10:D10; 'Trends'!B26; 'Trends'!B31:D31; 'Trends'!B32:D32; 'Trends'!B33:D33; 'Trends'!B34:D34; 'Trends'!B35:D35; 'Trends'!B36:D36; 'Trends'!B37:D37; 'Trends'!B78</t>
        </is>
      </c>
    </row>
    <row r="209">
      <c r="B209" s="7" t="inlineStr">
        <is>
          <t>E6</t>
        </is>
      </c>
      <c r="C209" s="7" t="inlineStr">
        <is>
          <t>ERW describe_table eia860m_planned_generators</t>
        </is>
      </c>
      <c r="D209" s="7" t="inlineStr">
        <is>
          <t>https://github.com/SamuelEnrique/erw (eia860m_planned_generators)</t>
        </is>
      </c>
      <c r="E209" s="7" t="inlineStr">
        <is>
          <t>2026-09-28</t>
        </is>
      </c>
      <c r="F209" s="7" t="inlineStr"/>
      <c r="G209" s="7" t="inlineStr">
        <is>
          <t>queried, not cited in a cell</t>
        </is>
      </c>
    </row>
    <row r="210">
      <c r="B210" s="6" t="inlineStr">
        <is>
          <t>E7</t>
        </is>
      </c>
      <c r="C210" s="6" t="inlineStr">
        <is>
          <t>ERW describe_table energy_deals</t>
        </is>
      </c>
      <c r="D210" s="6" t="inlineStr">
        <is>
          <t>https://github.com/SamuelEnrique/erw (energy_deals)</t>
        </is>
      </c>
      <c r="E210" s="6" t="inlineStr">
        <is>
          <t>2026-09-28</t>
        </is>
      </c>
      <c r="F210" s="6" t="inlineStr"/>
      <c r="G210" s="6" t="inlineStr">
        <is>
          <t>queried, not cited in a cell</t>
        </is>
      </c>
    </row>
    <row r="211">
      <c r="B211" s="7" t="inlineStr">
        <is>
          <t>E8</t>
        </is>
      </c>
      <c r="C211" s="7" t="inlineStr">
        <is>
          <t>ERW query eia860m_planned_generators</t>
        </is>
      </c>
      <c r="D211" s="7" t="inlineStr">
        <is>
          <t>https://github.com/SamuelEnrique/erw (eia860m_planned_generators)</t>
        </is>
      </c>
      <c r="E211" s="7" t="inlineStr">
        <is>
          <t>2026-09-28</t>
        </is>
      </c>
      <c r="F211" s="7" t="inlineStr"/>
      <c r="G211" s="7" t="inlineStr">
        <is>
          <t>'Fundamentals'!B8:F8; 'Fundamentals'!B29; 'Trends'!B7:D7; 'Trends'!B8:D8; 'Trends'!B9:D9; 'Trends'!B10:D10; 'Trends'!B26</t>
        </is>
      </c>
    </row>
    <row r="212">
      <c r="B212" s="6" t="inlineStr">
        <is>
          <t>E9</t>
        </is>
      </c>
      <c r="C212" s="6" t="inlineStr">
        <is>
          <t>ERW query energy_deals</t>
        </is>
      </c>
      <c r="D212" s="6" t="inlineStr">
        <is>
          <t>https://github.com/SamuelEnrique/erw (energy_deals)</t>
        </is>
      </c>
      <c r="E212" s="6" t="inlineStr">
        <is>
          <t>2026-09-28</t>
        </is>
      </c>
      <c r="F212" s="6" t="inlineStr"/>
      <c r="G212" s="6" t="inlineStr">
        <is>
          <t>'Fundamentals'!B27:F27; 'Fundamentals'!B29; 'Trends'!B91:C91; 'Trends'!B92:C92; 'Trends'!B93:C93; 'Trends'!B94:C94; 'Trends'!B95:C95; 'Trends'!B121; 'Risks'!B47</t>
        </is>
      </c>
    </row>
    <row r="213">
      <c r="B213" s="7" t="inlineStr">
        <is>
          <t>E10</t>
        </is>
      </c>
      <c r="C213" s="7" t="inlineStr">
        <is>
          <t>ERW describe_table caiso_interconnection_queue</t>
        </is>
      </c>
      <c r="D213" s="7" t="inlineStr">
        <is>
          <t>https://github.com/SamuelEnrique/erw (caiso_interconnection_queue)</t>
        </is>
      </c>
      <c r="E213" s="7" t="inlineStr">
        <is>
          <t>2026-09-28</t>
        </is>
      </c>
      <c r="F213" s="7" t="inlineStr"/>
      <c r="G213" s="7" t="inlineStr">
        <is>
          <t>'Fundamentals'!B28:F28; 'Fundamentals'!B29; 'Trends'!B83:C83; 'Trends'!B84:C84; 'Trends'!B85:C85; 'Trends'!B86</t>
        </is>
      </c>
    </row>
    <row r="214">
      <c r="B214" s="6" t="inlineStr">
        <is>
          <t>E11</t>
        </is>
      </c>
      <c r="C214" s="6" t="inlineStr">
        <is>
          <t>ERW query energy_deals</t>
        </is>
      </c>
      <c r="D214" s="6" t="inlineStr">
        <is>
          <t>https://github.com/SamuelEnrique/erw (energy_deals)</t>
        </is>
      </c>
      <c r="E214" s="6" t="inlineStr">
        <is>
          <t>2026-09-28</t>
        </is>
      </c>
      <c r="F214" s="6" t="inlineStr"/>
      <c r="G214" s="6" t="inlineStr">
        <is>
          <t>'Fundamentals'!B27:F27; 'Fundamentals'!B29; 'Trends'!B91:C91; 'Trends'!B92:C92; 'Trends'!B93:C93; 'Trends'!B94:C94; 'Trends'!B95:C95; 'Trends'!B121; 'Risks'!B47</t>
        </is>
      </c>
    </row>
    <row r="215">
      <c r="B215" s="7" t="inlineStr">
        <is>
          <t>E12</t>
        </is>
      </c>
      <c r="C215" s="7" t="inlineStr">
        <is>
          <t>ERW query energy_deals</t>
        </is>
      </c>
      <c r="D215" s="7" t="inlineStr">
        <is>
          <t>https://github.com/SamuelEnrique/erw (energy_deals)</t>
        </is>
      </c>
      <c r="E215" s="7" t="inlineStr">
        <is>
          <t>2026-09-28</t>
        </is>
      </c>
      <c r="F215" s="7" t="inlineStr"/>
      <c r="G215" s="7" t="inlineStr">
        <is>
          <t>'Trends'!B91:C91; 'Trends'!B92:C92; 'Trends'!B93:C93; 'Trends'!B94:C94; 'Trends'!B95:C95; 'Trends'!B121; 'Risks'!B47</t>
        </is>
      </c>
    </row>
    <row r="216">
      <c r="B216" s="6" t="inlineStr">
        <is>
          <t>E13</t>
        </is>
      </c>
      <c r="C216" s="6" t="inlineStr">
        <is>
          <t>ERW query energy_deals</t>
        </is>
      </c>
      <c r="D216" s="6" t="inlineStr">
        <is>
          <t>https://github.com/SamuelEnrique/erw (energy_deals)</t>
        </is>
      </c>
      <c r="E216" s="6" t="inlineStr">
        <is>
          <t>2026-09-28</t>
        </is>
      </c>
      <c r="F216" s="6" t="inlineStr"/>
      <c r="G216" s="6" t="inlineStr">
        <is>
          <t>'Fundamentals'!B27:F27; 'Fundamentals'!B29; 'Trends'!B91:C91; 'Trends'!B92:C92; 'Trends'!B93:C93; 'Trends'!B94:C94; 'Trends'!B95:C95; 'Trends'!B121</t>
        </is>
      </c>
    </row>
    <row r="217">
      <c r="B217" s="7" t="inlineStr">
        <is>
          <t>E14</t>
        </is>
      </c>
      <c r="C217" s="7" t="inlineStr">
        <is>
          <t>ERW query energy_deals</t>
        </is>
      </c>
      <c r="D217" s="7" t="inlineStr">
        <is>
          <t>https://github.com/SamuelEnrique/erw (energy_deals)</t>
        </is>
      </c>
      <c r="E217" s="7" t="inlineStr">
        <is>
          <t>2026-09-28</t>
        </is>
      </c>
      <c r="F217" s="7" t="inlineStr"/>
      <c r="G217" s="7" t="inlineStr">
        <is>
          <t>'Fundamentals'!B27:F27; 'Fundamentals'!B29; 'Trends'!B91:C91; 'Trends'!B92:C92; 'Trends'!B93:C93; 'Trends'!B94:C94; 'Trends'!B95:C95; 'Trends'!B121; 'Risks'!B47</t>
        </is>
      </c>
    </row>
    <row r="218">
      <c r="B218" s="6" t="inlineStr">
        <is>
          <t>E15</t>
        </is>
      </c>
      <c r="C218" s="6" t="inlineStr">
        <is>
          <t>ERW query energy_deals</t>
        </is>
      </c>
      <c r="D218" s="6" t="inlineStr">
        <is>
          <t>https://github.com/SamuelEnrique/erw (energy_deals)</t>
        </is>
      </c>
      <c r="E218" s="6" t="inlineStr">
        <is>
          <t>2026-09-28</t>
        </is>
      </c>
      <c r="F218" s="6" t="inlineStr"/>
      <c r="G218" s="6" t="inlineStr">
        <is>
          <t>'Fundamentals'!B27:F27; 'Fundamentals'!B29; 'Trends'!B91:C91; 'Trends'!B92:C92; 'Trends'!B93:C93; 'Trends'!B94:C94; 'Trends'!B95:C95; 'Trends'!B121; 'Risks'!B47</t>
        </is>
      </c>
    </row>
    <row r="219">
      <c r="B219" s="7" t="inlineStr">
        <is>
          <t>E16</t>
        </is>
      </c>
      <c r="C219" s="7" t="inlineStr">
        <is>
          <t>ERW list_tables</t>
        </is>
      </c>
      <c r="D219" s="7" t="inlineStr">
        <is>
          <t>https://github.com/SamuelEnrique/erw (list_tables)</t>
        </is>
      </c>
      <c r="E219" s="7" t="inlineStr">
        <is>
          <t>2026-09-28</t>
        </is>
      </c>
      <c r="F219" s="7" t="inlineStr"/>
      <c r="G219" s="7" t="inlineStr">
        <is>
          <t>queried, not cited in a cell</t>
        </is>
      </c>
    </row>
    <row r="220">
      <c r="B220" s="6" t="inlineStr">
        <is>
          <t>E17</t>
        </is>
      </c>
      <c r="C220" s="6" t="inlineStr">
        <is>
          <t>ERW list_tables</t>
        </is>
      </c>
      <c r="D220" s="6" t="inlineStr">
        <is>
          <t>https://github.com/SamuelEnrique/erw (list_tables)</t>
        </is>
      </c>
      <c r="E220" s="6" t="inlineStr">
        <is>
          <t>2026-09-28</t>
        </is>
      </c>
      <c r="F220" s="6" t="inlineStr"/>
      <c r="G220" s="6" t="inlineStr">
        <is>
          <t>queried, not cited in a cell</t>
        </is>
      </c>
    </row>
    <row r="221">
      <c r="B221" s="7" t="inlineStr">
        <is>
          <t>E18</t>
        </is>
      </c>
      <c r="C221" s="7" t="inlineStr">
        <is>
          <t>ERW describe_table energy_deals</t>
        </is>
      </c>
      <c r="D221" s="7" t="inlineStr">
        <is>
          <t>https://github.com/SamuelEnrique/erw (energy_deals)</t>
        </is>
      </c>
      <c r="E221" s="7" t="inlineStr">
        <is>
          <t>2026-09-28</t>
        </is>
      </c>
      <c r="F221" s="7" t="inlineStr"/>
      <c r="G221" s="7" t="inlineStr">
        <is>
          <t>queried, not cited in a cell</t>
        </is>
      </c>
    </row>
    <row r="222">
      <c r="B222" s="6" t="inlineStr">
        <is>
          <t>E19</t>
        </is>
      </c>
      <c r="C222" s="6" t="inlineStr">
        <is>
          <t>ERW query energy_deals</t>
        </is>
      </c>
      <c r="D222" s="6" t="inlineStr">
        <is>
          <t>https://github.com/SamuelEnrique/erw (energy_deals)</t>
        </is>
      </c>
      <c r="E222" s="6" t="inlineStr">
        <is>
          <t>2026-09-28</t>
        </is>
      </c>
      <c r="F222" s="6" t="inlineStr"/>
      <c r="G222" s="6" t="inlineStr">
        <is>
          <t>queried, not cited in a cell</t>
        </is>
      </c>
    </row>
    <row r="223">
      <c r="B223" s="7" t="inlineStr">
        <is>
          <t>E20</t>
        </is>
      </c>
      <c r="C223" s="7" t="inlineStr">
        <is>
          <t>ERW query datacenter_facilities</t>
        </is>
      </c>
      <c r="D223" s="7" t="inlineStr">
        <is>
          <t>https://github.com/SamuelEnrique/erw (datacenter_facilities)</t>
        </is>
      </c>
      <c r="E223" s="7" t="inlineStr">
        <is>
          <t>2026-09-28</t>
        </is>
      </c>
      <c r="F223" s="7" t="inlineStr"/>
      <c r="G223" s="7" t="inlineStr">
        <is>
          <t>queried, not cited in a cell</t>
        </is>
      </c>
    </row>
  </sheetData>
  <mergeCells count="1">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2026-09-28T17:04:10Z</dcterms:created>
  <dcterms:modified xmlns:dcterms="http://purl.org/dc/terms/" xmlns:xsi="http://www.w3.org/2001/XMLSchema-instance" xsi:type="dcterms:W3CDTF">2026-09-28T17:04:21Z</dcterms:modified>
</cp:coreProperties>
</file>