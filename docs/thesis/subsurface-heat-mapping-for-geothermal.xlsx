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pe" sheetId="1" state="visible" r:id="rId1"/>
    <sheet xmlns:r="http://schemas.openxmlformats.org/officeDocument/2006/relationships" name="Fundamentals" sheetId="2" state="visible" r:id="rId2"/>
    <sheet xmlns:r="http://schemas.openxmlformats.org/officeDocument/2006/relationships" name="Trends" sheetId="3" state="visible" r:id="rId3"/>
    <sheet xmlns:r="http://schemas.openxmlformats.org/officeDocument/2006/relationships" name="Landscape" sheetId="4" state="visible" r:id="rId4"/>
    <sheet xmlns:r="http://schemas.openxmlformats.org/officeDocument/2006/relationships" name="Capital" sheetId="5" state="visible" r:id="rId5"/>
    <sheet xmlns:r="http://schemas.openxmlformats.org/officeDocument/2006/relationships" name="Incumbents" sheetId="6" state="visible" r:id="rId6"/>
    <sheet xmlns:r="http://schemas.openxmlformats.org/officeDocument/2006/relationships" name="Policy" sheetId="7" state="visible" r:id="rId7"/>
    <sheet xmlns:r="http://schemas.openxmlformats.org/officeDocument/2006/relationships" name="Risks"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8C1515"/>
      <sz val="16"/>
    </font>
    <font>
      <name val="Georgia"/>
      <i val="1"/>
      <color rgb="002E2D29"/>
      <sz val="11"/>
    </font>
    <font>
      <name val="Georgia"/>
      <b val="1"/>
      <color rgb="00FFFFFF"/>
      <sz val="11"/>
    </font>
    <font>
      <name val="Calibri"/>
      <b val="1"/>
      <color rgb="00FFFFFF"/>
      <sz val="10"/>
    </font>
    <font>
      <name val="Calibri"/>
      <color rgb="002E2D29"/>
      <sz val="10"/>
    </font>
  </fonts>
  <fills count="4">
    <fill>
      <patternFill/>
    </fill>
    <fill>
      <patternFill patternType="gray125"/>
    </fill>
    <fill>
      <patternFill patternType="solid">
        <fgColor rgb="008C1515"/>
      </patternFill>
    </fill>
    <fill>
      <patternFill patternType="solid">
        <fgColor rgb="00F7F3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Geothermal nameplate capacity by state (MW)</a:t>
            </a:r>
          </a:p>
        </rich>
      </tx>
    </title>
    <plotArea>
      <barChart>
        <barDir val="col"/>
        <grouping val="clustered"/>
        <ser>
          <idx val="0"/>
          <order val="0"/>
          <tx>
            <strRef>
              <f>'Trends'!C6</f>
            </strRef>
          </tx>
          <spPr>
            <a:solidFill xmlns:a="http://schemas.openxmlformats.org/drawingml/2006/main">
              <a:srgbClr val="8C1515"/>
            </a:solidFill>
            <a:ln xmlns:a="http://schemas.openxmlformats.org/drawingml/2006/main">
              <a:solidFill>
                <a:srgbClr val="8C1515"/>
              </a:solidFill>
              <a:prstDash val="solid"/>
            </a:ln>
          </spPr>
          <cat>
            <numRef>
              <f>'Trends'!$B$7:$B$13</f>
            </numRef>
          </cat>
          <val>
            <numRef>
              <f>'Trends'!$C$7:$C$13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Geothermal net generation by state (MWh)</a:t>
            </a:r>
          </a:p>
        </rich>
      </tx>
    </title>
    <plotArea>
      <lineChart>
        <grouping val="standard"/>
        <ser>
          <idx val="0"/>
          <order val="0"/>
          <tx>
            <strRef>
              <f>'Trends'!C33</f>
            </strRef>
          </tx>
          <spPr>
            <a:solidFill xmlns:a="http://schemas.openxmlformats.org/drawingml/2006/main">
              <a:srgbClr val="8C1515"/>
            </a:solidFill>
            <a:ln xmlns:a="http://schemas.openxmlformats.org/drawingml/2006/main">
              <a:solidFill>
                <a:srgbClr val="8C1515"/>
              </a:solidFill>
              <a:prstDash val="solid"/>
            </a:ln>
          </spPr>
          <marker>
            <symbol val="none"/>
            <spPr>
              <a:ln xmlns:a="http://schemas.openxmlformats.org/drawingml/2006/main">
                <a:prstDash val="solid"/>
              </a:ln>
            </spPr>
          </marker>
          <cat>
            <numRef>
              <f>'Trends'!$B$34:$B$39</f>
            </numRef>
          </cat>
          <val>
            <numRef>
              <f>'Trends'!$C$34:$C$39</f>
            </numRef>
          </val>
        </ser>
        <ser>
          <idx val="1"/>
          <order val="1"/>
          <tx>
            <strRef>
              <f>'Trends'!D33</f>
            </strRef>
          </tx>
          <spPr>
            <a:solidFill xmlns:a="http://schemas.openxmlformats.org/drawingml/2006/main">
              <a:srgbClr val="007C92"/>
            </a:solidFill>
            <a:ln xmlns:a="http://schemas.openxmlformats.org/drawingml/2006/main">
              <a:solidFill>
                <a:srgbClr val="007C92"/>
              </a:solidFill>
              <a:prstDash val="solid"/>
            </a:ln>
          </spPr>
          <marker>
            <symbol val="none"/>
            <spPr>
              <a:ln xmlns:a="http://schemas.openxmlformats.org/drawingml/2006/main">
                <a:prstDash val="solid"/>
              </a:ln>
            </spPr>
          </marker>
          <cat>
            <numRef>
              <f>'Trends'!$B$34:$B$39</f>
            </numRef>
          </cat>
          <val>
            <numRef>
              <f>'Trends'!$D$34:$D$39</f>
            </numRef>
          </val>
        </ser>
        <ser>
          <idx val="2"/>
          <order val="2"/>
          <tx>
            <strRef>
              <f>'Trends'!E33</f>
            </strRef>
          </tx>
          <spPr>
            <a:solidFill xmlns:a="http://schemas.openxmlformats.org/drawingml/2006/main">
              <a:srgbClr val="E98300"/>
            </a:solidFill>
            <a:ln xmlns:a="http://schemas.openxmlformats.org/drawingml/2006/main">
              <a:solidFill>
                <a:srgbClr val="E98300"/>
              </a:solidFill>
              <a:prstDash val="solid"/>
            </a:ln>
          </spPr>
          <marker>
            <symbol val="none"/>
            <spPr>
              <a:ln xmlns:a="http://schemas.openxmlformats.org/drawingml/2006/main">
                <a:prstDash val="solid"/>
              </a:ln>
            </spPr>
          </marker>
          <cat>
            <numRef>
              <f>'Trends'!$B$34:$B$39</f>
            </numRef>
          </cat>
          <val>
            <numRef>
              <f>'Trends'!$E$34:$E$39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13</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39</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I24"/>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Scope</t>
        </is>
      </c>
    </row>
    <row r="2">
      <c r="B2" s="2" t="inlineStr">
        <is>
          <t>subsurface heat mapping for geothermal</t>
        </is>
      </c>
    </row>
    <row r="4" ht="20" customHeight="1">
      <c r="B4" s="3" t="inlineStr">
        <is>
          <t>(1) DEFINITION</t>
        </is>
      </c>
    </row>
    <row r="5" ht="75" customHeight="1">
      <c r="B5" s="4" t="inlineStr">
        <is>
          <r>
            <rPr>
              <rFont val="Calibri"/>
              <b val="1"/>
              <color rgb="002E2D29"/>
              <sz val="10"/>
            </rPr>
            <t xml:space="preserve">Fact: </t>
          </r>
          <r>
            <rPr>
              <rFont val="Calibri"/>
              <color rgb="002E2D29"/>
              <sz val="10"/>
            </rPr>
            <t>Subsurface heat mapping, as ERW uses the term, is finding and characterizing geothermal heat before a production well is drilled. ERW's Thesis Builder tags 8 companies to it: Bedrock Energy, Fervo Energy, Mantle Reach Power, Project InnerSpace, Quaise Energy, Sage Geosystems, XGS Energy and Zanskar. The tag mixes explorers, developers that map as part of drilling, and one nonprofit. Project InnerSpace's GeoMap, a free interactive tool, is the one product built only to map. A market size for mapping as a paid service is not disclosed.</t>
          </r>
        </is>
      </c>
    </row>
    <row r="6" ht="30" customHeight="1">
      <c r="B6" s="4" t="inlineStr">
        <is>
          <r>
            <rPr>
              <rFont val="Calibri"/>
              <b val="1"/>
              <i val="1"/>
              <color rgb="00808080"/>
              <sz val="10"/>
            </rPr>
            <t xml:space="preserve">Source(s): </t>
          </r>
          <r>
            <rPr>
              <rFont val="Calibri"/>
              <i val="1"/>
              <color rgb="00808080"/>
              <sz val="10"/>
            </rPr>
            <t>E15 ERW table energy_companies; E18 ERW table energy_companies; E31 ERW table energy_companies; S12 Project InnerSpace launches GeoMap Beta geothermal explorati; S64 Exploration and Characterization | Department of Energy</t>
          </r>
        </is>
      </c>
    </row>
    <row r="8" ht="20" customHeight="1">
      <c r="B8" s="3" t="inlineStr">
        <is>
          <t>(2) VALUE CHAIN</t>
        </is>
      </c>
    </row>
    <row r="9">
      <c r="B9" s="5" t="inlineStr">
        <is>
          <t>Stage</t>
        </is>
      </c>
      <c r="C9" s="5" t="inlineStr">
        <is>
          <t>What happens</t>
        </is>
      </c>
    </row>
    <row r="10">
      <c r="B10" s="6" t="inlineStr">
        <is>
          <t>Data inputs</t>
        </is>
      </c>
      <c r="C10" s="6" t="inlineStr">
        <is>
          <t>Project InnerSpace's GeoMap combines the work of more than 100 scientists into a free, interactive exploration map; the Europe release completed the global map. Zanskar's cofounders digitized analog subsurface data sets from regions that were never developed.</t>
        </is>
      </c>
    </row>
    <row r="11">
      <c r="B11" s="7" t="inlineStr">
        <is>
          <t>Interpretation</t>
        </is>
      </c>
      <c r="C11" s="7" t="inlineStr">
        <is>
          <t>Zanskar analyzes subsurface data with machine learning, acoustic imaging and seismic imaging, using sensors repurposed from oil and gas, to find heat resources before drilling. Fervo uses horizontal drilling and fiber-optic subsurface sensing to site and produce wells.</t>
        </is>
      </c>
    </row>
    <row r="12">
      <c r="B12" s="6" t="inlineStr">
        <is>
          <t>Drilling and confirmation</t>
        </is>
      </c>
      <c r="C12" s="6" t="inlineStr">
        <is>
          <t>Drilling accounts for 75% of project cost and 90% of capital cost. Quaise is developing millimeter-wave deep drilling for superhot rock, and XGS drills a single directional well into rock at 250 degrees C or higher.</t>
        </is>
      </c>
    </row>
    <row r="13">
      <c r="B13" s="7" t="inlineStr">
        <is>
          <t>Development and plant</t>
        </is>
      </c>
      <c r="C13" s="7" t="inlineStr">
        <is>
          <t>Mantle Reach Power, backed by EnCap Energy Transition Fund III, signed a 2026-06-24 agreement with Baker Hughes that anticipates up to 500 MW of installed capacity. Installed US geothermal is 4,049.2 MW nameplate across 163 operating generators; planned geothermal is 157.3 MW across 9 units.</t>
        </is>
      </c>
    </row>
    <row r="14">
      <c r="B14" s="6" t="inlineStr">
        <is>
          <t>Customer</t>
        </is>
      </c>
      <c r="C14" s="6" t="inlineStr">
        <is>
          <t>Utilities and large power buyers take the output. Fervo and Google signed a 396 MW power purchase agreement announced 2026-09-01.</t>
        </is>
      </c>
    </row>
    <row r="15" ht="90" customHeight="1">
      <c r="B15" s="4" t="inlineStr">
        <is>
          <r>
            <rPr>
              <rFont val="Calibri"/>
              <b val="1"/>
              <i val="1"/>
              <color rgb="00808080"/>
              <sz val="10"/>
            </rPr>
            <t xml:space="preserve">Source(s): </t>
          </r>
          <r>
            <rPr>
              <rFont val="Calibri"/>
              <i val="1"/>
              <color rgb="00808080"/>
              <sz val="10"/>
            </rPr>
            <t>E5 ERW table energy_companies; S12 Project InnerSpace launches GeoMap Beta geothermal explorati; S14 Project InnerSpace completes global geothermal resource map ; S159 Old-School Geothermal Is Due for a Comeback, Says AI Startup; E18 ERW table energy_companies; S62 Geothermal: Drilling accounts for 75% of project cost and 90; S189 Baker Hughes to back large-scale geothermal plans of Mantle ; S92 Baker Hughes and Mantle Reach Power, an EnCap Energy Transit; E6 ERW table eia860m_operating_generators; E8 ERW table eia860m_planned_generators; S53 Fervo Energy and Google Sign 396 MW PPA - Fervo Energy; S54 Fervo Energy and Google sign world's largest enhanced geothe</t>
          </r>
        </is>
      </c>
    </row>
    <row r="17" ht="20" customHeight="1">
      <c r="B17" s="3" t="inlineStr">
        <is>
          <t>(3) ADJACENT NICHES EXCLUDED</t>
        </is>
      </c>
    </row>
    <row r="18">
      <c r="B18" s="5" t="inlineStr">
        <is>
          <t>Niche</t>
        </is>
      </c>
      <c r="C18" s="5" t="inlineStr">
        <is>
          <t>Why it is out of scope</t>
        </is>
      </c>
    </row>
    <row r="19">
      <c r="B19" s="6" t="inlineStr">
        <is>
          <t>Geothermal heat pumps and building heating and cooling</t>
        </is>
      </c>
      <c r="C19" s="6" t="inlineStr">
        <is>
          <t>Bedrock Energy carries the tag, but its description is geothermal design and installation for heating and cooling buildings, not exploration for power wells.</t>
        </is>
      </c>
    </row>
    <row r="20">
      <c r="B20" s="7" t="inlineStr">
        <is>
          <t>Drilling hardware and services as a pure play</t>
        </is>
      </c>
      <c r="C20" s="7" t="inlineStr">
        <is>
          <t>Quaise and XGS are drilling-technology companies that sit in the tag; drilling equipment alone is not mapping.</t>
        </is>
      </c>
    </row>
    <row r="21">
      <c r="B21" s="6" t="inlineStr">
        <is>
          <t>Geothermal plant equipment and utility-scale plant ownership</t>
        </is>
      </c>
      <c r="C21" s="6" t="inlineStr">
        <is>
          <t>Ormat appears only as a Sage Series B co-lead investor; it is a public company and is not mapped here as a mapper.</t>
        </is>
      </c>
    </row>
    <row r="22">
      <c r="B22" s="7" t="inlineStr">
        <is>
          <t>Lithium extraction from geothermal brine</t>
        </is>
      </c>
      <c r="C22" s="7" t="inlineStr">
        <is>
          <t>Zanskar's entity name includes 'minerals', but the warehouse description covers exploration only.</t>
        </is>
      </c>
    </row>
    <row r="23">
      <c r="B23" s="6" t="inlineStr">
        <is>
          <t>Well-design and subsea geothermal companies</t>
        </is>
      </c>
      <c r="C23" s="6" t="inlineStr">
        <is>
          <t>Eavor and Endurance Energy were named in the notes but are not tagged to this niche and were not verified as mapping firms.</t>
        </is>
      </c>
    </row>
    <row r="24" ht="30" customHeight="1">
      <c r="B24" s="4" t="inlineStr">
        <is>
          <r>
            <rPr>
              <rFont val="Calibri"/>
              <b val="1"/>
              <i val="1"/>
              <color rgb="00808080"/>
              <sz val="10"/>
            </rPr>
            <t xml:space="preserve">Built: </t>
          </r>
          <r>
            <rPr>
              <rFont val="Calibri"/>
              <i val="1"/>
              <color rgb="00808080"/>
              <sz val="10"/>
            </rPr>
            <t>2026-09-28 20:42 UTC by warehouse/thesis/build.py, run 20260928T203525Z; 26 model calls (claude-sonnet-5-5), 37 web searches, USD 2.2310, 7.3 minutes. Numbers not found in a cited source are written as not confirmed.</t>
          </r>
        </is>
      </c>
    </row>
  </sheetData>
  <mergeCells count="7">
    <mergeCell ref="B15:I15"/>
    <mergeCell ref="B6:I6"/>
    <mergeCell ref="B24:I24"/>
    <mergeCell ref="B5:I5"/>
    <mergeCell ref="B8:I8"/>
    <mergeCell ref="B4:I4"/>
    <mergeCell ref="B17:I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I23"/>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Fundamentals</t>
        </is>
      </c>
    </row>
    <row r="2">
      <c r="B2" s="2" t="inlineStr">
        <is>
          <t>subsurface heat mapping for geothermal</t>
        </is>
      </c>
    </row>
    <row r="4" ht="20" customHeight="1">
      <c r="B4" s="3" t="inlineStr">
        <is>
          <t>(1) THE FRAMING NUMBERS</t>
        </is>
      </c>
    </row>
    <row r="5" ht="60" customHeight="1">
      <c r="B5" s="4" t="inlineStr">
        <is>
          <r>
            <rPr>
              <rFont val="Calibri"/>
              <b val="1"/>
              <color rgb="002E2D29"/>
              <sz val="10"/>
            </rPr>
            <t xml:space="preserve">Fact: </t>
          </r>
          <r>
            <rPr>
              <rFont val="Calibri"/>
              <color rgb="002E2D29"/>
              <sz val="10"/>
            </rPr>
            <t>Subsurface heat mapping for geothermal, meaning finding and characterizing geothermal heat before a production well is drilled, has 8 companies tagged to it in ERW's Thesis Builder: Bedrock Energy, Fervo Energy, Mantle Reach Power, Project InnerSpace, Quaise Energy, Sage Geosystems, XGS Energy and Zanskar. None is a pure software vendor selling maps for a fee. Mapping is the product only at the nonprofit Project InnerSpace, whose GeoMap tool is free.</t>
          </r>
        </is>
      </c>
    </row>
    <row r="6">
      <c r="B6" s="5" t="inlineStr">
        <is>
          <t>Metric</t>
        </is>
      </c>
      <c r="C6" s="5" t="inlineStr">
        <is>
          <t>Value</t>
        </is>
      </c>
      <c r="D6" s="5" t="inlineStr">
        <is>
          <t>Unit</t>
        </is>
      </c>
      <c r="E6" s="5" t="inlineStr">
        <is>
          <t>As of</t>
        </is>
      </c>
      <c r="F6" s="5" t="inlineStr">
        <is>
          <t>Source</t>
        </is>
      </c>
    </row>
    <row r="7">
      <c r="B7" s="6" t="inlineStr">
        <is>
          <t>Companies tagged to the niche</t>
        </is>
      </c>
      <c r="C7" s="6" t="inlineStr">
        <is>
          <t>8</t>
        </is>
      </c>
      <c r="D7" s="6" t="inlineStr">
        <is>
          <t>companies</t>
        </is>
      </c>
      <c r="E7" s="6" t="inlineStr">
        <is>
          <t>2026-09-28</t>
        </is>
      </c>
      <c r="F7" s="6" t="inlineStr">
        <is>
          <t>E11, E15, E31 (ERW)</t>
        </is>
      </c>
    </row>
    <row r="8">
      <c r="B8" s="7" t="inlineStr">
        <is>
          <t>Geothermal operating generators, count</t>
        </is>
      </c>
      <c r="C8" s="7" t="inlineStr">
        <is>
          <t>163</t>
        </is>
      </c>
      <c r="D8" s="7" t="inlineStr">
        <is>
          <t>generators</t>
        </is>
      </c>
      <c r="E8" s="7" t="inlineStr">
        <is>
          <t>2026-09 (eia860m vintage, retrieved 2026-09-26)</t>
        </is>
      </c>
      <c r="F8" s="7" t="inlineStr">
        <is>
          <t>E6 (ERW)</t>
        </is>
      </c>
    </row>
    <row r="9">
      <c r="B9" s="6" t="inlineStr">
        <is>
          <t>Geothermal operating nameplate capacity</t>
        </is>
      </c>
      <c r="C9" s="6" t="inlineStr">
        <is>
          <t>not confirmed (estimate: Sum of state values: CA 2935.5 + NV 913.7 + UT 77.1 + HI 51.0 + OR 36.7 + NM 19.2 + ID 16.0 = 4049.2 (not confirmed: 4049.2))</t>
        </is>
      </c>
      <c r="D9" s="6" t="inlineStr">
        <is>
          <t>MW</t>
        </is>
      </c>
      <c r="E9" s="6" t="inlineStr">
        <is>
          <t>2026-09 (eia860m vintage, retrieved 2026-09-26)</t>
        </is>
      </c>
      <c r="F9" s="6" t="inlineStr">
        <is>
          <t>E6 (ERW)</t>
        </is>
      </c>
    </row>
    <row r="10">
      <c r="B10" s="7" t="inlineStr">
        <is>
          <t>Geothermal operating net summer capacity</t>
        </is>
      </c>
      <c r="C10" s="7" t="inlineStr">
        <is>
          <t>2683.9</t>
        </is>
      </c>
      <c r="D10" s="7" t="inlineStr">
        <is>
          <t>MW</t>
        </is>
      </c>
      <c r="E10" s="7" t="inlineStr">
        <is>
          <t>2026-09 (eia860m vintage, retrieved 2026-09-26)</t>
        </is>
      </c>
      <c r="F10" s="7" t="inlineStr">
        <is>
          <t>E7 (ERW)</t>
        </is>
      </c>
    </row>
    <row r="11">
      <c r="B11" s="6" t="inlineStr">
        <is>
          <t>Share of geothermal nameplate in CA and NV</t>
        </is>
      </c>
      <c r="C11" s="6" t="inlineStr">
        <is>
          <t>not confirmed (estimate: (2935.5 + 913.7) / 4049.2 = 3849.2 / 4049.2 = 0.951 (not confirmed: 4049.2, 3849.2, 0.951))</t>
        </is>
      </c>
      <c r="D11" s="6" t="inlineStr">
        <is>
          <t>percent</t>
        </is>
      </c>
      <c r="E11" s="6" t="inlineStr">
        <is>
          <t>2026-09 (eia860m vintage, retrieved 2026-09-26)</t>
        </is>
      </c>
      <c r="F11" s="6" t="inlineStr">
        <is>
          <t>E6 (ERW)</t>
        </is>
      </c>
    </row>
    <row r="12">
      <c r="B12" s="7" t="inlineStr">
        <is>
          <t>Planned geothermal nameplate capacity</t>
        </is>
      </c>
      <c r="C12" s="7" t="inlineStr">
        <is>
          <t>not confirmed (estimate: NV 26.5 + UT 130.8 = 157.3, across 26.5 MW in 5 NV units and 130.8 MW in 4 UT units (9 units) (not confirmed: 157.3))</t>
        </is>
      </c>
      <c r="D12" s="7" t="inlineStr">
        <is>
          <t>MW</t>
        </is>
      </c>
      <c r="E12" s="7" t="inlineStr">
        <is>
          <t>2026-09 (eia860m planned, retrieved 2026-09-26)</t>
        </is>
      </c>
      <c r="F12" s="7" t="inlineStr">
        <is>
          <t>E8 (ERW)</t>
        </is>
      </c>
    </row>
    <row r="13">
      <c r="B13" s="6" t="inlineStr">
        <is>
          <t>California geothermal net generation, 2021</t>
        </is>
      </c>
      <c r="C13" s="6" t="inlineStr">
        <is>
          <t>11127544.01</t>
        </is>
      </c>
      <c r="D13" s="6" t="inlineStr">
        <is>
          <t>MWh</t>
        </is>
      </c>
      <c r="E13" s="6" t="inlineStr">
        <is>
          <t>2021</t>
        </is>
      </c>
      <c r="F13" s="6" t="inlineStr">
        <is>
          <t>E23 (ERW)</t>
        </is>
      </c>
    </row>
    <row r="14">
      <c r="B14" s="7" t="inlineStr">
        <is>
          <t>California geothermal net generation, 2025</t>
        </is>
      </c>
      <c r="C14" s="7" t="inlineStr">
        <is>
          <t>10746514.85</t>
        </is>
      </c>
      <c r="D14" s="7" t="inlineStr">
        <is>
          <t>MWh</t>
        </is>
      </c>
      <c r="E14" s="7" t="inlineStr">
        <is>
          <t>2025</t>
        </is>
      </c>
      <c r="F14" s="7" t="inlineStr">
        <is>
          <t>E23 (ERW)</t>
        </is>
      </c>
    </row>
    <row r="15">
      <c r="B15" s="6" t="inlineStr">
        <is>
          <t>California geothermal net generation, 2026 January to July (7 months)</t>
        </is>
      </c>
      <c r="C15" s="6" t="inlineStr">
        <is>
          <t>6159278.04</t>
        </is>
      </c>
      <c r="D15" s="6" t="inlineStr">
        <is>
          <t>MWh</t>
        </is>
      </c>
      <c r="E15" s="6" t="inlineStr">
        <is>
          <t>2026-07</t>
        </is>
      </c>
      <c r="F15" s="6" t="inlineStr">
        <is>
          <t>E23 (ERW)</t>
        </is>
      </c>
    </row>
    <row r="16">
      <c r="B16" s="7" t="inlineStr">
        <is>
          <t>Nevada geothermal net generation, 2025</t>
        </is>
      </c>
      <c r="C16" s="7" t="inlineStr">
        <is>
          <t>3874637.95</t>
        </is>
      </c>
      <c r="D16" s="7" t="inlineStr">
        <is>
          <t>MWh</t>
        </is>
      </c>
      <c r="E16" s="7" t="inlineStr">
        <is>
          <t>2025</t>
        </is>
      </c>
      <c r="F16" s="7" t="inlineStr">
        <is>
          <t>E24 (ERW)</t>
        </is>
      </c>
    </row>
    <row r="17">
      <c r="B17" s="6" t="inlineStr">
        <is>
          <t>Nevada geothermal net generation, 2026 January to July (7 months)</t>
        </is>
      </c>
      <c r="C17" s="6" t="inlineStr">
        <is>
          <t>2293793.49</t>
        </is>
      </c>
      <c r="D17" s="6" t="inlineStr">
        <is>
          <t>MWh</t>
        </is>
      </c>
      <c r="E17" s="6" t="inlineStr">
        <is>
          <t>2026-07</t>
        </is>
      </c>
      <c r="F17" s="6" t="inlineStr">
        <is>
          <t>E24 (ERW)</t>
        </is>
      </c>
    </row>
    <row r="18">
      <c r="B18" s="7" t="inlineStr">
        <is>
          <t>Utah geothermal net generation, 2025</t>
        </is>
      </c>
      <c r="C18" s="7" t="inlineStr">
        <is>
          <t>468246.37</t>
        </is>
      </c>
      <c r="D18" s="7" t="inlineStr">
        <is>
          <t>MWh</t>
        </is>
      </c>
      <c r="E18" s="7" t="inlineStr">
        <is>
          <t>2025</t>
        </is>
      </c>
      <c r="F18" s="7" t="inlineStr">
        <is>
          <t>E25 (ERW)</t>
        </is>
      </c>
    </row>
    <row r="19">
      <c r="B19" s="6" t="inlineStr">
        <is>
          <t>Utah geothermal net generation, 2026 January to July (7 months)</t>
        </is>
      </c>
      <c r="C19" s="6" t="inlineStr">
        <is>
          <t>277469.94</t>
        </is>
      </c>
      <c r="D19" s="6" t="inlineStr">
        <is>
          <t>MWh</t>
        </is>
      </c>
      <c r="E19" s="6" t="inlineStr">
        <is>
          <t>2026-07</t>
        </is>
      </c>
      <c r="F19" s="6" t="inlineStr">
        <is>
          <t>E25 (ERW)</t>
        </is>
      </c>
    </row>
    <row r="20">
      <c r="B20" s="7" t="inlineStr">
        <is>
          <t>Nevada industrial retail electricity price, 2025 average</t>
        </is>
      </c>
      <c r="C20" s="7" t="inlineStr">
        <is>
          <t>79.816667</t>
        </is>
      </c>
      <c r="D20" s="7" t="inlineStr">
        <is>
          <t>USD/MWh</t>
        </is>
      </c>
      <c r="E20" s="7" t="inlineStr">
        <is>
          <t>2025</t>
        </is>
      </c>
      <c r="F20" s="7" t="inlineStr">
        <is>
          <t>E26 (ERW)</t>
        </is>
      </c>
    </row>
    <row r="21">
      <c r="B21" s="6" t="inlineStr">
        <is>
          <t>Nevada industrial retail electricity price, 2026 average to July</t>
        </is>
      </c>
      <c r="C21" s="6" t="inlineStr">
        <is>
          <t>83.214286</t>
        </is>
      </c>
      <c r="D21" s="6" t="inlineStr">
        <is>
          <t>USD/MWh</t>
        </is>
      </c>
      <c r="E21" s="6" t="inlineStr">
        <is>
          <t>2026-07</t>
        </is>
      </c>
      <c r="F21" s="6" t="inlineStr">
        <is>
          <t>E26 (ERW)</t>
        </is>
      </c>
    </row>
    <row r="22">
      <c r="B22" s="7" t="inlineStr">
        <is>
          <t>Market size of subsurface mapping as a paid service</t>
        </is>
      </c>
      <c r="C22" s="7" t="inlineStr">
        <is>
          <t>not disclosed</t>
        </is>
      </c>
      <c r="D22" s="7" t="inlineStr">
        <is>
          <t>not disclosed</t>
        </is>
      </c>
      <c r="E22" s="7" t="inlineStr">
        <is>
          <t>not disclosed</t>
        </is>
      </c>
      <c r="F22" s="7" t="inlineStr">
        <is>
          <t>E11 (ERW)</t>
        </is>
      </c>
    </row>
    <row r="23" ht="90" customHeight="1">
      <c r="B23" s="4" t="inlineStr">
        <is>
          <r>
            <rPr>
              <rFont val="Calibri"/>
              <b val="1"/>
              <i val="1"/>
              <color rgb="00808080"/>
              <sz val="10"/>
            </rPr>
            <t xml:space="preserve">Source(s): </t>
          </r>
          <r>
            <rPr>
              <rFont val="Calibri"/>
              <i val="1"/>
              <color rgb="00808080"/>
              <sz val="10"/>
            </rPr>
            <t xml:space="preserve">E11 ERW table energy_companies; E15 ERW table energy_companies; E31 ERW table energy_companies; E6 ERW table eia860m_operating_generators; E7 ERW table eia860m_operating_generators; E8 ERW table eia860m_planned_generators; E23 ERW table eia_state_generation_monthly; E24 ERW table eia_state_generation_monthly; E25 ERW table eia_state_generation_monthly; E26 ERW table eia_retail_electricity_prices; E18 ERW table energy_companies; S12 Project InnerSpace launches GeoMap Beta geothermal explorati; S13 Project Innerspace launches GeoMap geothermal prospecting to; S14 Project InnerSpace completes global geothermal resource map </t>
          </r>
        </is>
      </c>
    </row>
  </sheetData>
  <mergeCells count="3">
    <mergeCell ref="B23:I23"/>
    <mergeCell ref="B5:I5"/>
    <mergeCell ref="B4:I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84"/>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Trends</t>
        </is>
      </c>
    </row>
    <row r="2">
      <c r="B2" s="2" t="inlineStr">
        <is>
          <t>subsurface heat mapping for geothermal</t>
        </is>
      </c>
    </row>
    <row r="4" ht="20" customHeight="1">
      <c r="B4" s="3" t="inlineStr">
        <is>
          <t>(1) INSTALLED GEOTHERMAL IS CONCENTRATED IN CALIFORNIA AND NEVADA</t>
        </is>
      </c>
    </row>
    <row r="5" ht="45" customHeight="1">
      <c r="B5" s="4" t="inlineStr">
        <is>
          <r>
            <rPr>
              <rFont val="Calibri"/>
              <b val="1"/>
              <color rgb="002E2D29"/>
              <sz val="10"/>
            </rPr>
            <t xml:space="preserve">Fact: </t>
          </r>
          <r>
            <rPr>
              <rFont val="Calibri"/>
              <color rgb="002E2D29"/>
              <sz val="10"/>
            </rPr>
            <t>The EIA-860M operating generators table lists 163 geothermal generators in 7 states. Net summer capacity is 2683.9 MW. California (2935.5 MW) and Nevada (913.7 MW) lead on nameplate capacity (eia860m_operating_generators, vintage 2026-08). (not confirmed: 8)</t>
          </r>
        </is>
      </c>
    </row>
    <row r="6">
      <c r="B6" s="5" t="inlineStr">
        <is>
          <t>State</t>
        </is>
      </c>
      <c r="C6" s="5" t="inlineStr">
        <is>
          <t>Nameplate MW</t>
        </is>
      </c>
      <c r="D6" s="5" t="inlineStr">
        <is>
          <t>Generators</t>
        </is>
      </c>
    </row>
    <row r="7">
      <c r="B7" s="6" t="inlineStr">
        <is>
          <t>CA</t>
        </is>
      </c>
      <c r="C7" s="6" t="n">
        <v>2935.5</v>
      </c>
      <c r="D7" s="6" t="inlineStr">
        <is>
          <t>76</t>
        </is>
      </c>
    </row>
    <row r="8">
      <c r="B8" s="7" t="inlineStr">
        <is>
          <t>NV</t>
        </is>
      </c>
      <c r="C8" s="7" t="n">
        <v>913.7</v>
      </c>
      <c r="D8" s="7" t="inlineStr">
        <is>
          <t>60</t>
        </is>
      </c>
    </row>
    <row r="9">
      <c r="B9" s="6" t="inlineStr">
        <is>
          <t>UT</t>
        </is>
      </c>
      <c r="C9" s="6" t="n">
        <v>77.09999999999999</v>
      </c>
      <c r="D9" s="6" t="inlineStr">
        <is>
          <t>5</t>
        </is>
      </c>
    </row>
    <row r="10">
      <c r="B10" s="7" t="inlineStr">
        <is>
          <t>HI</t>
        </is>
      </c>
      <c r="C10" s="7" t="n">
        <v>51</v>
      </c>
      <c r="D10" s="7" t="inlineStr">
        <is>
          <t>12</t>
        </is>
      </c>
    </row>
    <row r="11">
      <c r="B11" s="6" t="inlineStr">
        <is>
          <t>OR</t>
        </is>
      </c>
      <c r="C11" s="6" t="n">
        <v>36.7</v>
      </c>
      <c r="D11" s="6" t="inlineStr">
        <is>
          <t>4</t>
        </is>
      </c>
    </row>
    <row r="12">
      <c r="B12" s="7" t="inlineStr">
        <is>
          <t>NM</t>
        </is>
      </c>
      <c r="C12" s="7" t="n">
        <v>19.2</v>
      </c>
      <c r="D12" s="7" t="inlineStr">
        <is>
          <t>5</t>
        </is>
      </c>
    </row>
    <row r="13">
      <c r="B13" s="6" t="inlineStr">
        <is>
          <t>ID</t>
        </is>
      </c>
      <c r="C13" s="6" t="n">
        <v>16</v>
      </c>
      <c r="D13" s="6" t="inlineStr">
        <is>
          <t>1</t>
        </is>
      </c>
    </row>
    <row r="29" ht="15" customHeight="1">
      <c r="B29" s="4" t="inlineStr">
        <is>
          <r>
            <rPr>
              <rFont val="Calibri"/>
              <b val="1"/>
              <i val="1"/>
              <color rgb="00808080"/>
              <sz val="10"/>
            </rPr>
            <t xml:space="preserve">Source(s): </t>
          </r>
          <r>
            <rPr>
              <rFont val="Calibri"/>
              <i val="1"/>
              <color rgb="00808080"/>
              <sz val="10"/>
            </rPr>
            <t>E6 ERW table eia860m_operating_generators; E7 ERW table eia860m_operating_generators</t>
          </r>
        </is>
      </c>
    </row>
    <row r="31" ht="20" customHeight="1">
      <c r="B31" s="3" t="inlineStr">
        <is>
          <t>(2) GEOTHERMAL GENERATION IN CA, NV AND UT IS ROUGHLY FLAT SINCE 2021</t>
        </is>
      </c>
    </row>
    <row r="32" ht="30" customHeight="1">
      <c r="B32" s="4" t="inlineStr">
        <is>
          <r>
            <rPr>
              <rFont val="Calibri"/>
              <b val="1"/>
              <color rgb="002E2D29"/>
              <sz val="10"/>
            </rPr>
            <t xml:space="preserve">Fact: </t>
          </r>
          <r>
            <rPr>
              <rFont val="Calibri"/>
              <color rgb="002E2D29"/>
              <sz val="10"/>
            </rPr>
            <t>California produced 11127544.01 MWh in 2021 and 10746514.85 MWh in 2025. Nevada went from 3917454.03 to 3874637.95 MWh over the same years. Utah went from 419662.01 to 468246.37 MWh. The 2026 row covers January to July only (7 months).</t>
          </r>
        </is>
      </c>
    </row>
    <row r="33">
      <c r="B33" s="5" t="inlineStr">
        <is>
          <t>Year</t>
        </is>
      </c>
      <c r="C33" s="5" t="inlineStr">
        <is>
          <t>CA MWh</t>
        </is>
      </c>
      <c r="D33" s="5" t="inlineStr">
        <is>
          <t>NV MWh</t>
        </is>
      </c>
      <c r="E33" s="5" t="inlineStr">
        <is>
          <t>UT MWh</t>
        </is>
      </c>
    </row>
    <row r="34">
      <c r="B34" s="6" t="inlineStr">
        <is>
          <t>2021</t>
        </is>
      </c>
      <c r="C34" s="6" t="n">
        <v>11127544.01</v>
      </c>
      <c r="D34" s="6" t="n">
        <v>3917454.03</v>
      </c>
      <c r="E34" s="6" t="n">
        <v>419662.01</v>
      </c>
    </row>
    <row r="35">
      <c r="B35" s="7" t="inlineStr">
        <is>
          <t>2022</t>
        </is>
      </c>
      <c r="C35" s="7" t="n">
        <v>11180964.01</v>
      </c>
      <c r="D35" s="7" t="n">
        <v>3917131</v>
      </c>
      <c r="E35" s="7" t="n">
        <v>463130</v>
      </c>
    </row>
    <row r="36">
      <c r="B36" s="6" t="inlineStr">
        <is>
          <t>2023</t>
        </is>
      </c>
      <c r="C36" s="6" t="n">
        <v>11265933</v>
      </c>
      <c r="D36" s="6" t="n">
        <v>4150414</v>
      </c>
      <c r="E36" s="6" t="n">
        <v>458024</v>
      </c>
    </row>
    <row r="37">
      <c r="B37" s="7" t="inlineStr">
        <is>
          <t>2024</t>
        </is>
      </c>
      <c r="C37" s="7" t="n">
        <v>10524488</v>
      </c>
      <c r="D37" s="7" t="n">
        <v>3885732</v>
      </c>
      <c r="E37" s="7" t="n">
        <v>450980</v>
      </c>
    </row>
    <row r="38">
      <c r="B38" s="6" t="inlineStr">
        <is>
          <t>2025</t>
        </is>
      </c>
      <c r="C38" s="6" t="n">
        <v>10746514.85</v>
      </c>
      <c r="D38" s="6" t="n">
        <v>3874637.95</v>
      </c>
      <c r="E38" s="6" t="n">
        <v>468246.37</v>
      </c>
    </row>
    <row r="39">
      <c r="B39" s="7" t="inlineStr">
        <is>
          <t>2026 (Jan-Jul, 7 months)</t>
        </is>
      </c>
      <c r="C39" s="7" t="n">
        <v>6159278.04</v>
      </c>
      <c r="D39" s="7" t="n">
        <v>2293793.49</v>
      </c>
      <c r="E39" s="7" t="n">
        <v>277469.94</v>
      </c>
    </row>
    <row r="55" ht="30" customHeight="1">
      <c r="B55" s="4" t="inlineStr">
        <is>
          <r>
            <rPr>
              <rFont val="Calibri"/>
              <b val="1"/>
              <i val="1"/>
              <color rgb="00808080"/>
              <sz val="10"/>
            </rPr>
            <t xml:space="preserve">Source(s): </t>
          </r>
          <r>
            <rPr>
              <rFont val="Calibri"/>
              <i val="1"/>
              <color rgb="00808080"/>
              <sz val="10"/>
            </rPr>
            <t>E23 ERW table eia_state_generation_monthly; E24 ERW table eia_state_generation_monthly; E25 ERW table eia_state_generation_monthly</t>
          </r>
        </is>
      </c>
    </row>
    <row r="57" ht="20" customHeight="1">
      <c r="B57" s="3" t="inlineStr">
        <is>
          <t>(3) FUNDING ROUNDS FOR NICHE COMPANIES CAME IN 2025 AND 2026</t>
        </is>
      </c>
    </row>
    <row r="58" ht="60" customHeight="1">
      <c r="B58" s="4" t="inlineStr">
        <is>
          <r>
            <rPr>
              <rFont val="Calibri"/>
              <b val="1"/>
              <color rgb="002E2D29"/>
              <sz val="10"/>
            </rPr>
            <t xml:space="preserve">Fact: </t>
          </r>
          <r>
            <rPr>
              <rFont val="Calibri"/>
              <color rgb="002E2D29"/>
              <sz val="10"/>
            </rPr>
            <t>Of the 8 companies the warehouse tags to this niche, Zanskar, Quaise, Sage, XGS and Bedrock each report a funding round dated 2025-01 or later. Fervo priced its IPO and raised $1.89B. Investors are as named in the warehouse rows. Sage's total is per Pitchbook and marked not confirmed in the table. The warehouse's energy_deals table has one geothermal row, an equity raise dated 2026-05-04 with no dollars and no MW stated.</t>
          </r>
        </is>
      </c>
    </row>
    <row r="59">
      <c r="B59" s="5" t="inlineStr">
        <is>
          <t>Company</t>
        </is>
      </c>
      <c r="C59" s="5" t="inlineStr">
        <is>
          <t>Round</t>
        </is>
      </c>
      <c r="D59" s="5" t="inlineStr">
        <is>
          <t>Amount</t>
        </is>
      </c>
      <c r="E59" s="5" t="inlineStr">
        <is>
          <t>Date</t>
        </is>
      </c>
      <c r="F59" s="5" t="inlineStr">
        <is>
          <t>Investors named</t>
        </is>
      </c>
    </row>
    <row r="60">
      <c r="B60" s="6" t="inlineStr">
        <is>
          <t>Zanskar</t>
        </is>
      </c>
      <c r="C60" s="6" t="inlineStr">
        <is>
          <t>Series C</t>
        </is>
      </c>
      <c r="D60" s="6" t="inlineStr">
        <is>
          <t>$115 million</t>
        </is>
      </c>
      <c r="E60" s="6" t="inlineStr">
        <is>
          <t>2026-01-21</t>
        </is>
      </c>
      <c r="F60" s="6" t="inlineStr">
        <is>
          <t>not disclosed in the warehouse row</t>
        </is>
      </c>
    </row>
    <row r="61">
      <c r="B61" s="7" t="inlineStr">
        <is>
          <t>Quaise</t>
        </is>
      </c>
      <c r="C61" s="7" t="inlineStr">
        <is>
          <t>Series B final close (first close $134 million, 2026-07-07)</t>
        </is>
      </c>
      <c r="D61" s="7" t="inlineStr">
        <is>
          <t>$180 million</t>
        </is>
      </c>
      <c r="E61" s="7" t="inlineStr">
        <is>
          <t>2026-08-27</t>
        </is>
      </c>
      <c r="F61" s="7" t="inlineStr">
        <is>
          <t>Nabors Industries, $35 million strategic investment</t>
        </is>
      </c>
    </row>
    <row r="62">
      <c r="B62" s="6" t="inlineStr">
        <is>
          <t>Sage Geosystems</t>
        </is>
      </c>
      <c r="C62" s="6" t="inlineStr">
        <is>
          <t>Series B</t>
        </is>
      </c>
      <c r="D62" s="6" t="inlineStr">
        <is>
          <t>$97.0 million</t>
        </is>
      </c>
      <c r="E62" s="6" t="inlineStr">
        <is>
          <t>January 2026</t>
        </is>
      </c>
      <c r="F62" s="6" t="inlineStr">
        <is>
          <t>not disclosed in the warehouse row</t>
        </is>
      </c>
    </row>
    <row r="63">
      <c r="B63" s="7" t="inlineStr">
        <is>
          <t>XGS Energy</t>
        </is>
      </c>
      <c r="C63" s="7" t="inlineStr">
        <is>
          <t>additional financing</t>
        </is>
      </c>
      <c r="D63" s="7" t="inlineStr">
        <is>
          <t>$13 million</t>
        </is>
      </c>
      <c r="E63" s="7" t="inlineStr">
        <is>
          <t>2025-03</t>
        </is>
      </c>
      <c r="F63" s="7" t="inlineStr">
        <is>
          <t>not disclosed in the warehouse row</t>
        </is>
      </c>
    </row>
    <row r="64">
      <c r="B64" s="6" t="inlineStr">
        <is>
          <t>Bedrock Energy</t>
        </is>
      </c>
      <c r="C64" s="6" t="inlineStr">
        <is>
          <t>Series A</t>
        </is>
      </c>
      <c r="D64" s="6" t="inlineStr">
        <is>
          <t>$12 million</t>
        </is>
      </c>
      <c r="E64" s="6" t="inlineStr">
        <is>
          <t>2025-01</t>
        </is>
      </c>
      <c r="F64" s="6" t="inlineStr">
        <is>
          <t>Titanium Ventures (lead), Energy Impact Partners, Sustainable Future Ventures</t>
        </is>
      </c>
    </row>
    <row r="65">
      <c r="B65" s="7" t="inlineStr">
        <is>
          <t>Fervo Energy</t>
        </is>
      </c>
      <c r="C65" s="7" t="inlineStr">
        <is>
          <t>IPO</t>
        </is>
      </c>
      <c r="D65" s="7" t="inlineStr">
        <is>
          <t>$1.89B</t>
        </is>
      </c>
      <c r="E65" s="7" t="inlineStr">
        <is>
          <t>not disclosed</t>
        </is>
      </c>
      <c r="F65" s="7" t="inlineStr">
        <is>
          <t>not disclosed</t>
        </is>
      </c>
    </row>
    <row r="66" ht="45" customHeight="1">
      <c r="B66" s="4" t="inlineStr">
        <is>
          <r>
            <rPr>
              <rFont val="Calibri"/>
              <b val="1"/>
              <i val="1"/>
              <color rgb="00808080"/>
              <sz val="10"/>
            </rPr>
            <t xml:space="preserve">Source(s): </t>
          </r>
          <r>
            <rPr>
              <rFont val="Calibri"/>
              <i val="1"/>
              <color rgb="00808080"/>
              <sz val="10"/>
            </rPr>
            <t>E41 ERW table energy_companies; E38 ERW table energy_companies; E39 ERW table energy_companies; E40 ERW table energy_companies; E35 ERW table energy_companies; E9 ERW table energy_deals; E12 ERW table energy_deals; E45 ERW table energy_deals; E46 ERW table energy_deals; S21 Bill Gates-backed geothermal developer Fervo raises $1.89B i</t>
          </r>
        </is>
      </c>
    </row>
    <row r="68" ht="20" customHeight="1">
      <c r="B68" s="3" t="inlineStr">
        <is>
          <t>(4) FERVO'S WELL TIME AND COST PER KW ARE FALLING</t>
        </is>
      </c>
    </row>
    <row r="69" ht="45" customHeight="1">
      <c r="B69" s="4" t="inlineStr">
        <is>
          <r>
            <rPr>
              <rFont val="Calibri"/>
              <b val="1"/>
              <color rgb="002E2D29"/>
              <sz val="10"/>
            </rPr>
            <t xml:space="preserve">Fact: </t>
          </r>
          <r>
            <rPr>
              <rFont val="Calibri"/>
              <color rgb="002E2D29"/>
              <sz val="10"/>
            </rPr>
            <t>Fervo's Cape Station Phase I costs about $7,000 per kW. Phase II is targeted at $5,500 per kW and the long-term target is $3,000 per kW. Nevada pilot wells took 70 days to reach 11,220 feet. Phase I wells averaged 21 days to 14,483 feet (CNBC, 2026-09-05). (not confirmed: 7000, 5500, 3000, 70)</t>
          </r>
        </is>
      </c>
    </row>
    <row r="70">
      <c r="B70" s="5" t="inlineStr">
        <is>
          <t>Item</t>
        </is>
      </c>
      <c r="C70" s="5" t="inlineStr">
        <is>
          <t>Value</t>
        </is>
      </c>
    </row>
    <row r="71">
      <c r="B71" s="6" t="inlineStr">
        <is>
          <t>Cape Station Phase I cost</t>
        </is>
      </c>
      <c r="C71" s="6" t="inlineStr">
        <is>
          <t>not confirmed</t>
        </is>
      </c>
    </row>
    <row r="72">
      <c r="B72" s="7" t="inlineStr">
        <is>
          <t>Cape Station Phase II target</t>
        </is>
      </c>
      <c r="C72" s="7" t="inlineStr">
        <is>
          <t>not confirmed</t>
        </is>
      </c>
    </row>
    <row r="73">
      <c r="B73" s="6" t="inlineStr">
        <is>
          <t>Long-term target</t>
        </is>
      </c>
      <c r="C73" s="6" t="inlineStr">
        <is>
          <t>not confirmed</t>
        </is>
      </c>
    </row>
    <row r="74">
      <c r="B74" s="7" t="inlineStr">
        <is>
          <t>Nevada pilot well</t>
        </is>
      </c>
      <c r="C74" s="7" t="inlineStr">
        <is>
          <t>not confirmed</t>
        </is>
      </c>
    </row>
    <row r="75">
      <c r="B75" s="6" t="inlineStr">
        <is>
          <t>Phase I well average</t>
        </is>
      </c>
      <c r="C75" s="6" t="inlineStr">
        <is>
          <t>not confirmed</t>
        </is>
      </c>
    </row>
    <row r="76" ht="15" customHeight="1">
      <c r="B76" s="4" t="inlineStr">
        <is>
          <r>
            <rPr>
              <rFont val="Calibri"/>
              <b val="1"/>
              <i val="1"/>
              <color rgb="00808080"/>
              <sz val="10"/>
            </rPr>
            <t xml:space="preserve">Source(s): </t>
          </r>
          <r>
            <rPr>
              <rFont val="Calibri"/>
              <i val="1"/>
              <color rgb="00808080"/>
              <sz val="10"/>
            </rPr>
            <t>S99 Fervo Energy’s enhanced geothermal project aims to power dat</t>
          </r>
        </is>
      </c>
    </row>
    <row r="78" ht="20" customHeight="1">
      <c r="B78" s="3" t="inlineStr">
        <is>
          <t>(5) LARGE OFFTAKE AND OILFIELD-SERVICES PARTNERS ARE ARRIVING</t>
        </is>
      </c>
    </row>
    <row r="79" ht="45" customHeight="1">
      <c r="B79" s="4" t="inlineStr">
        <is>
          <r>
            <rPr>
              <rFont val="Calibri"/>
              <b val="1"/>
              <color rgb="002E2D29"/>
              <sz val="10"/>
            </rPr>
            <t xml:space="preserve">Fact: </t>
          </r>
          <r>
            <rPr>
              <rFont val="Calibri"/>
              <color rgb="002E2D29"/>
              <sz val="10"/>
            </rPr>
            <t>Fervo and Google signed a 396 MW PPA. Baker Hughes and Mantle Reach Power announced an agreement on 2026-06-24 that anticipates up to 500 MW of installed capacity. Nabors Industries put $35 million into Quaise. PPA price for the Google deal: not disclosed. (not confirmed: 6, 24, 500)</t>
          </r>
        </is>
      </c>
    </row>
    <row r="80">
      <c r="B80" s="5" t="inlineStr">
        <is>
          <t>Party</t>
        </is>
      </c>
      <c r="C80" s="5" t="inlineStr">
        <is>
          <t>Counterparty</t>
        </is>
      </c>
      <c r="D80" s="5" t="inlineStr">
        <is>
          <t>Size</t>
        </is>
      </c>
      <c r="E80" s="5" t="inlineStr">
        <is>
          <t>Date</t>
        </is>
      </c>
      <c r="F80" s="5" t="inlineStr">
        <is>
          <t>Price</t>
        </is>
      </c>
    </row>
    <row r="81">
      <c r="B81" s="6" t="inlineStr">
        <is>
          <t>Fervo Energy</t>
        </is>
      </c>
      <c r="C81" s="6" t="inlineStr">
        <is>
          <t>Google</t>
        </is>
      </c>
      <c r="D81" s="6" t="inlineStr">
        <is>
          <t>396 MW PPA</t>
        </is>
      </c>
      <c r="E81" s="6" t="inlineStr">
        <is>
          <t>2026-09-01</t>
        </is>
      </c>
      <c r="F81" s="6" t="inlineStr">
        <is>
          <t>not disclosed</t>
        </is>
      </c>
    </row>
    <row r="82">
      <c r="B82" s="7" t="inlineStr">
        <is>
          <t>Mantle Reach Power</t>
        </is>
      </c>
      <c r="C82" s="7" t="inlineStr">
        <is>
          <t>Baker Hughes</t>
        </is>
      </c>
      <c r="D82" s="7" t="inlineStr">
        <is>
          <t>not confirmed</t>
        </is>
      </c>
      <c r="E82" s="7" t="inlineStr">
        <is>
          <t>not confirmed</t>
        </is>
      </c>
      <c r="F82" s="7" t="inlineStr">
        <is>
          <t>not disclosed</t>
        </is>
      </c>
    </row>
    <row r="83">
      <c r="B83" s="6" t="inlineStr">
        <is>
          <t>Quaise Energy</t>
        </is>
      </c>
      <c r="C83" s="6" t="inlineStr">
        <is>
          <t>Nabors Industries</t>
        </is>
      </c>
      <c r="D83" s="6" t="inlineStr">
        <is>
          <t>$35 million investment</t>
        </is>
      </c>
      <c r="E83" s="6" t="inlineStr">
        <is>
          <t>2026-08-27</t>
        </is>
      </c>
      <c r="F83" s="6" t="inlineStr">
        <is>
          <t>not disclosed</t>
        </is>
      </c>
    </row>
    <row r="84" ht="45" customHeight="1">
      <c r="B84" s="4" t="inlineStr">
        <is>
          <r>
            <rPr>
              <rFont val="Calibri"/>
              <b val="1"/>
              <i val="1"/>
              <color rgb="00808080"/>
              <sz val="10"/>
            </rPr>
            <t xml:space="preserve">Source(s): </t>
          </r>
          <r>
            <rPr>
              <rFont val="Calibri"/>
              <i val="1"/>
              <color rgb="00808080"/>
              <sz val="10"/>
            </rPr>
            <t>S53 Fervo Energy and Google Sign 396 MW PPA - Fervo Energy; S100 Fervo and Google sign world’s largest deal for next-gen geot; S189 Baker Hughes to back large-scale geothermal plans of Mantle ; S92 Baker Hughes and Mantle Reach Power, an EnCap Energy Transit; E38 ERW table energy_companies</t>
          </r>
        </is>
      </c>
    </row>
  </sheetData>
  <mergeCells count="15">
    <mergeCell ref="B58:I58"/>
    <mergeCell ref="B68:I68"/>
    <mergeCell ref="B78:I78"/>
    <mergeCell ref="B29:I29"/>
    <mergeCell ref="B55:I55"/>
    <mergeCell ref="B69:I69"/>
    <mergeCell ref="B84:I84"/>
    <mergeCell ref="B5:I5"/>
    <mergeCell ref="B66:I66"/>
    <mergeCell ref="B76:I76"/>
    <mergeCell ref="B31:I31"/>
    <mergeCell ref="B79:I79"/>
    <mergeCell ref="B57:I57"/>
    <mergeCell ref="B32:I32"/>
    <mergeCell ref="B4:I4"/>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J14"/>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Landscape</t>
        </is>
      </c>
    </row>
    <row r="2">
      <c r="B2" s="2" t="inlineStr">
        <is>
          <t>subsurface heat mapping for geothermal</t>
        </is>
      </c>
    </row>
    <row r="4" ht="20" customHeight="1">
      <c r="B4" s="3" t="inlineStr">
        <is>
          <t>(1) COMPANIES</t>
        </is>
      </c>
    </row>
    <row r="5" ht="30" customHeight="1">
      <c r="B5" s="4" t="inlineStr">
        <is>
          <r>
            <rPr>
              <rFont val="Calibri"/>
              <b val="1"/>
              <color rgb="002E2D29"/>
              <sz val="10"/>
            </rPr>
            <t xml:space="preserve">Fact: </t>
          </r>
          <r>
            <rPr>
              <rFont val="Calibri"/>
              <color rgb="002E2D29"/>
              <sz val="10"/>
            </rPr>
            <t>ERW's Thesis Builder tags 8 companies to subsurface heat mapping for geothermal (energy_companies, snapshot 2026-09-28). Fervo Energy is one of the 8; it is listed on Nasdaq, so we left it off Landscape.</t>
          </r>
        </is>
      </c>
    </row>
    <row r="6">
      <c r="B6" s="5" t="inlineStr">
        <is>
          <t>Company</t>
        </is>
      </c>
      <c r="C6" s="5" t="inlineStr">
        <is>
          <t>What it does</t>
        </is>
      </c>
      <c r="D6" s="5" t="inlineStr">
        <is>
          <t>Founders</t>
        </is>
      </c>
      <c r="E6" s="5" t="inlineStr">
        <is>
          <t>Stage</t>
        </is>
      </c>
      <c r="F6" s="5" t="inlineStr">
        <is>
          <t>Raised</t>
        </is>
      </c>
      <c r="G6" s="5" t="inlineStr">
        <is>
          <t>Location</t>
        </is>
      </c>
      <c r="H6" s="5" t="inlineStr">
        <is>
          <t>Signal</t>
        </is>
      </c>
      <c r="I6" s="5" t="inlineStr">
        <is>
          <t>Sources</t>
        </is>
      </c>
      <c r="J6" s="5" t="inlineStr">
        <is>
          <t>Confidence (0 to 100)</t>
        </is>
      </c>
    </row>
    <row r="7">
      <c r="B7" s="6" t="inlineStr">
        <is>
          <t>Zanskar Geothermal &amp; Minerals</t>
        </is>
      </c>
      <c r="C7" s="6" t="inlineStr">
        <is>
          <t>AI-driven geothermal exploration company that analyzes subsurface data with machine learning, acoustic imaging and seismic imaging, using sensors repurposed from oil and gas, to find geothermal heat resources before drilling.</t>
        </is>
      </c>
      <c r="D7" s="6" t="inlineStr">
        <is>
          <t>Carl Hoiland, Joel Edwards</t>
        </is>
      </c>
      <c r="E7" s="6" t="inlineStr">
        <is>
          <t>Series C</t>
        </is>
      </c>
      <c r="F7" s="6" t="inlineStr">
        <is>
          <t>$115 million Series C (announced 2026-01-21), bringing total equity funding to date to $180 million</t>
        </is>
      </c>
      <c r="G7" s="6" t="inlineStr">
        <is>
          <t>Salt Lake City, Utah</t>
        </is>
      </c>
      <c r="H7" s="6" t="inlineStr">
        <is>
          <t>Series C led by Spring Lane Capital; Heatmap News reports the cofounders acquired analog data sets of regions never developed.</t>
        </is>
      </c>
      <c r="I7" s="6" t="inlineStr">
        <is>
          <t>E41, E18, E19, E5, S8, S1, S159, S219</t>
        </is>
      </c>
      <c r="J7" s="6" t="inlineStr">
        <is>
          <t>100: 3 independent sources, latest 2026; stage confirmed and raised confirmed by a primary source</t>
        </is>
      </c>
    </row>
    <row r="8">
      <c r="B8" s="7" t="inlineStr">
        <is>
          <t>Quaise Energy</t>
        </is>
      </c>
      <c r="C8" s="7" t="inlineStr">
        <is>
          <t>Millimeter-wave deep-drilling technology aimed at accessing superhot geothermal resources.</t>
        </is>
      </c>
      <c r="D8" s="7" t="inlineStr">
        <is>
          <t>Carlos Araque (CEO and president); spun out of the MIT Plasma Science and Fusion Center in 2018</t>
        </is>
      </c>
      <c r="E8" s="7" t="inlineStr">
        <is>
          <t>Series B</t>
        </is>
      </c>
      <c r="F8" s="7" t="inlineStr">
        <is>
          <t>$180 million Series B final close (2026-08-27), bringing total funding to $280 million, including a $35 million strategic investment from Nabors Industries; first close of Series B was $134 million (2026-07-07)</t>
        </is>
      </c>
      <c r="G8" s="7" t="inlineStr">
        <is>
          <t>Houston</t>
        </is>
      </c>
      <c r="H8" s="7" t="inlineStr">
        <is>
          <t>Nabors holds 14% fully diluted and is the largest shareholder.</t>
        </is>
      </c>
      <c r="I8" s="7" t="inlineStr">
        <is>
          <t>E38, E19, E5, S123, S85, S86, S206, S84</t>
        </is>
      </c>
      <c r="J8" s="7" t="inlineStr">
        <is>
          <t>100: 3 independent sources, latest 2026; stage confirmed and raised confirmed by a primary source</t>
        </is>
      </c>
    </row>
    <row r="9">
      <c r="B9" s="6" t="inlineStr">
        <is>
          <t>XGS Energy</t>
        </is>
      </c>
      <c r="C9" s="6" t="inlineStr">
        <is>
          <t>Heat-harvesting geothermal technology that drills a single directional well into rock at 250 degrees C or higher and pulls heat into the well through a network of thermally conductive material.</t>
        </is>
      </c>
      <c r="D9" s="6" t="inlineStr">
        <is>
          <t>Josh Prueher (CEO), Ghazal Izadi (COO), Axel-Pierre Bois (CTO)</t>
        </is>
      </c>
      <c r="E9" s="6" t="inlineStr">
        <is>
          <t>Series A (extended)</t>
        </is>
      </c>
      <c r="F9" s="6" t="inlineStr">
        <is>
          <t>$56.7 million across 4 funding rounds</t>
        </is>
      </c>
      <c r="G9" s="6" t="inlineStr">
        <is>
          <t>not disclosed</t>
        </is>
      </c>
      <c r="H9" s="6" t="inlineStr">
        <is>
          <t>Selected by the US Department of Energy to advance a deep vertical appraisal well in New Mexico; grant amount not disclosed.</t>
        </is>
      </c>
      <c r="I9" s="6" t="inlineStr">
        <is>
          <t>E40, E19, E5, S131, S132, S130</t>
        </is>
      </c>
      <c r="J9" s="6" t="inlineStr">
        <is>
          <t>80: 3 independent sources, latest 2026; stage not confirmed and raised not confirmed by a primary source</t>
        </is>
      </c>
    </row>
    <row r="10">
      <c r="B10" s="7" t="inlineStr">
        <is>
          <t>Sage Geosystems</t>
        </is>
      </c>
      <c r="C10" s="7" t="inlineStr">
        <is>
          <t>Develops geopressured geothermal systems, aiming to make geothermal energy accessible at depths economically drillable with existing oilfield technologies and equipment.</t>
        </is>
      </c>
      <c r="D10" s="7" t="inlineStr">
        <is>
          <t>Cindy Taff (CEO), Lev Ring (President), Lance Cook (CTO)</t>
        </is>
      </c>
      <c r="E10" s="7" t="inlineStr">
        <is>
          <t>Series B</t>
        </is>
      </c>
      <c r="F10" s="7" t="inlineStr">
        <is>
          <t>Over $97 million Series B, co-led by Ormat Technologies and Carbon Direct Capital</t>
        </is>
      </c>
      <c r="G10" s="7" t="inlineStr">
        <is>
          <t>Houston</t>
        </is>
      </c>
      <c r="H10" s="7" t="inlineStr">
        <is>
          <t>Ormat made a $25 million equity investment in the Series B.</t>
        </is>
      </c>
      <c r="I10" s="7" t="inlineStr">
        <is>
          <t>S78, S71, S72, S73, E39, E5</t>
        </is>
      </c>
      <c r="J10" s="7" t="inlineStr">
        <is>
          <t>100: 3 independent sources, latest 2026; stage confirmed and raised confirmed by a primary source</t>
        </is>
      </c>
    </row>
    <row r="11">
      <c r="B11" s="6" t="inlineStr">
        <is>
          <t>Bedrock Energy</t>
        </is>
      </c>
      <c r="C11" s="6" t="inlineStr">
        <is>
          <t>Designs geothermal design and installation technology combining autonomous drilling and advanced subsurface modeling, for heating and cooling buildings.</t>
        </is>
      </c>
      <c r="D11" s="6" t="inlineStr">
        <is>
          <t>Joselyn Lai (CEO), Silviu Livescu (CTO)</t>
        </is>
      </c>
      <c r="E11" s="6" t="inlineStr">
        <is>
          <t>Series A</t>
        </is>
      </c>
      <c r="F11" s="6" t="inlineStr">
        <is>
          <t>$8.5 million seed led by Wireframe Ventures (2023-10-11); $12 million Series A led by Titanium Ventures, with Energy Impact Partners and Sustainable Future Ventures (2025-01)</t>
        </is>
      </c>
      <c r="G11" s="6" t="inlineStr">
        <is>
          <t>Austin, Texas</t>
        </is>
      </c>
      <c r="H11" s="6" t="inlineStr">
        <is>
          <t>$12 million Series A in 2025-01; buildings-side heating and cooling, not power generation.</t>
        </is>
      </c>
      <c r="I11" s="6" t="inlineStr">
        <is>
          <t>E35, E18, E19, E5, S152, S148, S154</t>
        </is>
      </c>
      <c r="J11" s="6" t="inlineStr">
        <is>
          <t>100: 3 independent sources, latest 2025; stage confirmed and raised confirmed by a primary source</t>
        </is>
      </c>
    </row>
    <row r="12">
      <c r="B12" s="7" t="inlineStr">
        <is>
          <t>Mantle Reach Power</t>
        </is>
      </c>
      <c r="C12" s="7" t="inlineStr">
        <is>
          <t>Geothermal developer that entered a commercial agreement with Baker Hughes to accelerate large-scale geothermal energy deployment across North America.</t>
        </is>
      </c>
      <c r="D12" s="7" t="inlineStr">
        <is>
          <t>not disclosed</t>
        </is>
      </c>
      <c r="E12" s="7" t="inlineStr">
        <is>
          <t>not disclosed</t>
        </is>
      </c>
      <c r="F12" s="7" t="inlineStr">
        <is>
          <t>not disclosed; backed by EnCap Energy Transition Fund III (amount not disclosed)</t>
        </is>
      </c>
      <c r="G12" s="7" t="inlineStr">
        <is>
          <t>not disclosed</t>
        </is>
      </c>
      <c r="H12" s="7" t="inlineStr">
        <is>
          <t>Strategic agreement with Baker Hughes announced 2026-06-24, anticipating up to 500 MW of installed capacity.</t>
        </is>
      </c>
      <c r="I12" s="7" t="inlineStr">
        <is>
          <t>E37, E18, E19, S92, S189, S141</t>
        </is>
      </c>
      <c r="J12" s="7" t="inlineStr">
        <is>
          <t>80: 3 independent sources, latest 2026; stage not confirmed and raised not confirmed by a primary source</t>
        </is>
      </c>
    </row>
    <row r="13">
      <c r="B13" s="6" t="inlineStr">
        <is>
          <t>Project InnerSpace</t>
        </is>
      </c>
      <c r="C13" s="6" t="inlineStr">
        <is>
          <t>Nonprofit that builds GeoMap, the Geothermal Exploration Opportunities Map, a free interactive exploration tool.</t>
        </is>
      </c>
      <c r="D13" s="6" t="inlineStr">
        <is>
          <t>Jamie Beard (leader)</t>
        </is>
      </c>
      <c r="E13" s="6" t="inlineStr">
        <is>
          <t>nonprofit (not applicable)</t>
        </is>
      </c>
      <c r="F13" s="6" t="inlineStr">
        <is>
          <t>$16.6 million in research investments to date (self-reported by the organization)</t>
        </is>
      </c>
      <c r="G13" s="6" t="inlineStr">
        <is>
          <t>not disclosed</t>
        </is>
      </c>
      <c r="H13" s="6" t="inlineStr">
        <is>
          <t>GeoMap Europe completed the global resource map; the North America module was developed with Google.</t>
        </is>
      </c>
      <c r="I13" s="6" t="inlineStr">
        <is>
          <t>E42, E19, E5, S14, S13, S12, S16</t>
        </is>
      </c>
      <c r="J13" s="6" t="inlineStr">
        <is>
          <t>80: 3 independent sources, latest 2026; stage not confirmed and raised not confirmed by a primary source</t>
        </is>
      </c>
    </row>
    <row r="14" ht="255" customHeight="1">
      <c r="B14" s="4" t="inlineStr">
        <is>
          <r>
            <rPr>
              <rFont val="Calibri"/>
              <b val="1"/>
              <i val="1"/>
              <color rgb="00808080"/>
              <sz val="10"/>
            </rPr>
            <t xml:space="preserve">Source(s): </t>
          </r>
          <r>
            <rPr>
              <rFont val="Calibri"/>
              <i val="1"/>
              <color rgb="00808080"/>
              <sz val="10"/>
            </rPr>
            <t>E41 ERW table energy_companies; E18 ERW table energy_companies; E19 ERW table energy_companies; E5 ERW table energy_companies; S8 Zanskar raises $115M Series C Following Record-Setting Year ; S1 Zanskar raises $115M to support expansion of AI-based geothe; S159 Old-School Geothermal Is Due for a Comeback, Says AI Startup; S219 Zanskar Geothermal; E38 ERW table energy_companies; S123 Quaise Energy Closes $180 Million Series B with $35 ...; S85 Quaise Energy Raises $134 Million in Initial Close of Series; S86 Quaise Energy Raises $134 Million in First Close of Series B; S206 Nabors becomes largest shareholder in geothermal driller Qua; S84 MITEI spinout Quaise raises $180 million | MIT Energy Initia; E40 ERW table energy_companies; S131 XGS Energy Selected by U.S. DOE to Advance Next-Generation G; S132 XGS Energy Secures Additional $13 Million to Accelerate Adva; S130 XGS Energy raises $20 million additional funding for next-ge; S78 Sage Geosystems Raises Over $97 Million To Deploy World’s Fi; S71 Sage Geosystems closes $97 million Series B funding round to; S72 Sage Geosystems: Over $97 Million Series B Closed To Launch ; S73 Sage Geosystems raises $97M Series B for next-gen power - In; E39 ERW table energy_companies; E35 ERW table energy_companies; S152 Bedrock Energy Raises $12M Series A to Scale Geothermal Heat; S148 Bedrock Energy: $12 Million (Series A) Secured For Scaling G; S154 Titanium Ventures Leads Series A Round in Bedrock Energy: Pi; E37 ERW table energy_companies; S92 Baker Hughes and Mantle Reach Power, an EnCap Energy Transit; S189 Baker Hughes to back large-scale geothermal plans of Mantle ; S141 Mantle Reach Power — Geothermal Independent Power Producer; E42 ERW table energy_companies; S14 Project InnerSpace completes global geothermal resource map ; S13 Project Innerspace launches GeoMap geothermal prospecting to; S12 Project InnerSpace launches GeoMap Beta geothermal explorati; S16 GeoMap™ Beta | Project InnerSpace</t>
          </r>
        </is>
      </c>
    </row>
  </sheetData>
  <mergeCells count="3">
    <mergeCell ref="B5:I5"/>
    <mergeCell ref="B14:I14"/>
    <mergeCell ref="B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18"/>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Capital</t>
        </is>
      </c>
    </row>
    <row r="2">
      <c r="B2" s="2" t="inlineStr">
        <is>
          <t>subsurface heat mapping for geothermal</t>
        </is>
      </c>
    </row>
    <row r="4" ht="20" customHeight="1">
      <c r="B4" s="3" t="inlineStr">
        <is>
          <t>(1) ROUNDS, PROJECT FINANCE AND M&amp;A</t>
        </is>
      </c>
    </row>
    <row r="5" ht="30" customHeight="1">
      <c r="B5" s="4" t="inlineStr">
        <is>
          <r>
            <rPr>
              <rFont val="Calibri"/>
              <b val="1"/>
              <color rgb="002E2D29"/>
              <sz val="10"/>
            </rPr>
            <t xml:space="preserve">Fact: </t>
          </r>
          <r>
            <rPr>
              <rFont val="Calibri"/>
              <color rgb="002E2D29"/>
              <sz val="10"/>
            </rPr>
            <t>energy_deals holds one geothermal row, an equity raise by Fervo Energy and investors, dated 2026-05-04, with the dollars column empty.</t>
          </r>
        </is>
      </c>
    </row>
    <row r="6">
      <c r="B6" s="5" t="inlineStr">
        <is>
          <t>Date</t>
        </is>
      </c>
      <c r="C6" s="5" t="inlineStr">
        <is>
          <t>Company</t>
        </is>
      </c>
      <c r="D6" s="5" t="inlineStr">
        <is>
          <t>Kind</t>
        </is>
      </c>
      <c r="E6" s="5" t="inlineStr">
        <is>
          <t>Amount</t>
        </is>
      </c>
      <c r="F6" s="5" t="inlineStr">
        <is>
          <t>Currency</t>
        </is>
      </c>
      <c r="G6" s="5" t="inlineStr">
        <is>
          <t>Investors</t>
        </is>
      </c>
      <c r="H6" s="5" t="inlineStr">
        <is>
          <t>Sources</t>
        </is>
      </c>
    </row>
    <row r="7">
      <c r="B7" s="6" t="inlineStr">
        <is>
          <t>2026-08-27</t>
        </is>
      </c>
      <c r="C7" s="6" t="inlineStr">
        <is>
          <t>Quaise Energy</t>
        </is>
      </c>
      <c r="D7" s="6" t="inlineStr">
        <is>
          <t>Series B final close</t>
        </is>
      </c>
      <c r="E7" s="6" t="inlineStr">
        <is>
          <t>$180 million</t>
        </is>
      </c>
      <c r="F7" s="6" t="inlineStr">
        <is>
          <t>USD</t>
        </is>
      </c>
      <c r="G7" s="6" t="inlineStr">
        <is>
          <t>Nabors Industries ($35 million); other investors not disclosed</t>
        </is>
      </c>
      <c r="H7" s="6" t="inlineStr">
        <is>
          <t>E38</t>
        </is>
      </c>
    </row>
    <row r="8">
      <c r="B8" s="7" t="inlineStr">
        <is>
          <t>2026-07-07</t>
        </is>
      </c>
      <c r="C8" s="7" t="inlineStr">
        <is>
          <t>Quaise Energy</t>
        </is>
      </c>
      <c r="D8" s="7" t="inlineStr">
        <is>
          <t>Series B first close</t>
        </is>
      </c>
      <c r="E8" s="7" t="inlineStr">
        <is>
          <t>$134 million</t>
        </is>
      </c>
      <c r="F8" s="7" t="inlineStr">
        <is>
          <t>USD</t>
        </is>
      </c>
      <c r="G8" s="7" t="inlineStr">
        <is>
          <t>not disclosed</t>
        </is>
      </c>
      <c r="H8" s="7" t="inlineStr">
        <is>
          <t>E38</t>
        </is>
      </c>
    </row>
    <row r="9">
      <c r="B9" s="6" t="inlineStr">
        <is>
          <t>2026-04-16</t>
        </is>
      </c>
      <c r="C9" s="6" t="inlineStr">
        <is>
          <t>Zanskar Geothermal &amp; Minerals</t>
        </is>
      </c>
      <c r="D9" s="6" t="inlineStr">
        <is>
          <t>Development Capital Facility (debt)</t>
        </is>
      </c>
      <c r="E9" s="6" t="inlineStr">
        <is>
          <t>$40 million</t>
        </is>
      </c>
      <c r="F9" s="6" t="inlineStr">
        <is>
          <t>USD</t>
        </is>
      </c>
      <c r="G9" s="6" t="inlineStr">
        <is>
          <t>not disclosed</t>
        </is>
      </c>
      <c r="H9" s="6" t="inlineStr">
        <is>
          <t>E41</t>
        </is>
      </c>
    </row>
    <row r="10">
      <c r="B10" s="7" t="inlineStr">
        <is>
          <t>2026-01-21</t>
        </is>
      </c>
      <c r="C10" s="7" t="inlineStr">
        <is>
          <t>Zanskar Geothermal &amp; Minerals</t>
        </is>
      </c>
      <c r="D10" s="7" t="inlineStr">
        <is>
          <t>Series C</t>
        </is>
      </c>
      <c r="E10" s="7" t="inlineStr">
        <is>
          <t>$115 million</t>
        </is>
      </c>
      <c r="F10" s="7" t="inlineStr">
        <is>
          <t>USD</t>
        </is>
      </c>
      <c r="G10" s="7" t="inlineStr">
        <is>
          <t>not disclosed</t>
        </is>
      </c>
      <c r="H10" s="7" t="inlineStr">
        <is>
          <t>E41</t>
        </is>
      </c>
    </row>
    <row r="11">
      <c r="B11" s="6" t="inlineStr">
        <is>
          <t>2026-01</t>
        </is>
      </c>
      <c r="C11" s="6" t="inlineStr">
        <is>
          <t>Sage Geosystems</t>
        </is>
      </c>
      <c r="D11" s="6" t="inlineStr">
        <is>
          <t>Series B</t>
        </is>
      </c>
      <c r="E11" s="6" t="inlineStr">
        <is>
          <t>$97.0 million</t>
        </is>
      </c>
      <c r="F11" s="6" t="inlineStr">
        <is>
          <t>USD</t>
        </is>
      </c>
      <c r="G11" s="6" t="inlineStr">
        <is>
          <t>not disclosed</t>
        </is>
      </c>
      <c r="H11" s="6" t="inlineStr">
        <is>
          <t>E39</t>
        </is>
      </c>
    </row>
    <row r="12">
      <c r="B12" s="7" t="inlineStr">
        <is>
          <t>2025-03</t>
        </is>
      </c>
      <c r="C12" s="7" t="inlineStr">
        <is>
          <t>XGS Energy</t>
        </is>
      </c>
      <c r="D12" s="7" t="inlineStr">
        <is>
          <t>additional financing</t>
        </is>
      </c>
      <c r="E12" s="7" t="inlineStr">
        <is>
          <t>$13 million</t>
        </is>
      </c>
      <c r="F12" s="7" t="inlineStr">
        <is>
          <t>USD</t>
        </is>
      </c>
      <c r="G12" s="7" t="inlineStr">
        <is>
          <t>not disclosed</t>
        </is>
      </c>
      <c r="H12" s="7" t="inlineStr">
        <is>
          <t>E40</t>
        </is>
      </c>
    </row>
    <row r="13">
      <c r="B13" s="6" t="inlineStr">
        <is>
          <t>2025-01</t>
        </is>
      </c>
      <c r="C13" s="6" t="inlineStr">
        <is>
          <t>Bedrock Energy</t>
        </is>
      </c>
      <c r="D13" s="6" t="inlineStr">
        <is>
          <t>Series A</t>
        </is>
      </c>
      <c r="E13" s="6" t="inlineStr">
        <is>
          <t>$12 million</t>
        </is>
      </c>
      <c r="F13" s="6" t="inlineStr">
        <is>
          <t>USD</t>
        </is>
      </c>
      <c r="G13" s="6" t="inlineStr">
        <is>
          <t>Titanium Ventures (lead), Energy Impact Partners, Sustainable Future Ventures</t>
        </is>
      </c>
      <c r="H13" s="6" t="inlineStr">
        <is>
          <t>E35</t>
        </is>
      </c>
    </row>
    <row r="14">
      <c r="B14" s="7" t="inlineStr">
        <is>
          <t>2024-05-21</t>
        </is>
      </c>
      <c r="C14" s="7" t="inlineStr">
        <is>
          <t>XGS Energy</t>
        </is>
      </c>
      <c r="D14" s="7" t="inlineStr">
        <is>
          <t>Series A extension</t>
        </is>
      </c>
      <c r="E14" s="7" t="inlineStr">
        <is>
          <t>$20 million</t>
        </is>
      </c>
      <c r="F14" s="7" t="inlineStr">
        <is>
          <t>USD</t>
        </is>
      </c>
      <c r="G14" s="7" t="inlineStr">
        <is>
          <t>Valo Ventures and VoLo Earth Ventures (leads)</t>
        </is>
      </c>
      <c r="H14" s="7" t="inlineStr">
        <is>
          <t>E40</t>
        </is>
      </c>
    </row>
    <row r="15">
      <c r="B15" s="6" t="inlineStr">
        <is>
          <t>2024-05-06</t>
        </is>
      </c>
      <c r="C15" s="6" t="inlineStr">
        <is>
          <t>Zanskar Geothermal &amp; Minerals</t>
        </is>
      </c>
      <c r="D15" s="6" t="inlineStr">
        <is>
          <t>Series B</t>
        </is>
      </c>
      <c r="E15" s="6" t="inlineStr">
        <is>
          <t>$30 million</t>
        </is>
      </c>
      <c r="F15" s="6" t="inlineStr">
        <is>
          <t>USD</t>
        </is>
      </c>
      <c r="G15" s="6" t="inlineStr">
        <is>
          <t>not disclosed</t>
        </is>
      </c>
      <c r="H15" s="6" t="inlineStr">
        <is>
          <t>E41</t>
        </is>
      </c>
    </row>
    <row r="16">
      <c r="B16" s="7" t="inlineStr">
        <is>
          <t>2024</t>
        </is>
      </c>
      <c r="C16" s="7" t="inlineStr">
        <is>
          <t>Sage Geosystems</t>
        </is>
      </c>
      <c r="D16" s="7" t="inlineStr">
        <is>
          <t>Series A first close</t>
        </is>
      </c>
      <c r="E16" s="7" t="inlineStr">
        <is>
          <t>$17 million</t>
        </is>
      </c>
      <c r="F16" s="7" t="inlineStr">
        <is>
          <t>USD</t>
        </is>
      </c>
      <c r="G16" s="7" t="inlineStr">
        <is>
          <t>Chesapeake Energy Corporation (lead)</t>
        </is>
      </c>
      <c r="H16" s="7" t="inlineStr">
        <is>
          <t>E39</t>
        </is>
      </c>
    </row>
    <row r="17">
      <c r="B17" s="6" t="inlineStr">
        <is>
          <t>2023-10-11</t>
        </is>
      </c>
      <c r="C17" s="6" t="inlineStr">
        <is>
          <t>Bedrock Energy</t>
        </is>
      </c>
      <c r="D17" s="6" t="inlineStr">
        <is>
          <t>Seed</t>
        </is>
      </c>
      <c r="E17" s="6" t="inlineStr">
        <is>
          <t>$8.5 million</t>
        </is>
      </c>
      <c r="F17" s="6" t="inlineStr">
        <is>
          <t>USD</t>
        </is>
      </c>
      <c r="G17" s="6" t="inlineStr">
        <is>
          <t>Wireframe Ventures (lead)</t>
        </is>
      </c>
      <c r="H17" s="6" t="inlineStr">
        <is>
          <t>E35</t>
        </is>
      </c>
    </row>
    <row r="18" ht="30" customHeight="1">
      <c r="B18" s="4" t="inlineStr">
        <is>
          <r>
            <rPr>
              <rFont val="Calibri"/>
              <b val="1"/>
              <i val="1"/>
              <color rgb="00808080"/>
              <sz val="10"/>
            </rPr>
            <t xml:space="preserve">Source(s): </t>
          </r>
          <r>
            <rPr>
              <rFont val="Calibri"/>
              <i val="1"/>
              <color rgb="00808080"/>
              <sz val="10"/>
            </rPr>
            <t>E38 ERW table energy_companies; E41 ERW table energy_companies; E39 ERW table energy_companies; E40 ERW table energy_companies; E35 ERW table energy_companies</t>
          </r>
        </is>
      </c>
    </row>
  </sheetData>
  <mergeCells count="3">
    <mergeCell ref="B18:I18"/>
    <mergeCell ref="B5:I5"/>
    <mergeCell ref="B4:I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I11"/>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Incumbents</t>
        </is>
      </c>
    </row>
    <row r="2">
      <c r="B2" s="2" t="inlineStr">
        <is>
          <t>subsurface heat mapping for geothermal</t>
        </is>
      </c>
    </row>
    <row r="4" ht="20" customHeight="1">
      <c r="B4" s="3" t="inlineStr">
        <is>
          <t>(1) LARGE PLAYERS AND PUBLIC COMPARABLES</t>
        </is>
      </c>
    </row>
    <row r="5" ht="45" customHeight="1">
      <c r="B5" s="4" t="inlineStr">
        <is>
          <r>
            <rPr>
              <rFont val="Calibri"/>
              <b val="1"/>
              <color rgb="002E2D29"/>
              <sz val="10"/>
            </rPr>
            <t xml:space="preserve">Fact: </t>
          </r>
          <r>
            <rPr>
              <rFont val="Calibri"/>
              <color rgb="002E2D29"/>
              <sz val="10"/>
            </rPr>
            <t>The warehouse tags 8 companies to subsurface heat mapping for geothermal, and no public company in the notes is a pure-play map vendor. The four listed firms below are adjacent: a developer, a plant maker, an oilfield-services partner and a driller with a stake in a tagged company.</t>
          </r>
        </is>
      </c>
    </row>
    <row r="6">
      <c r="B6" s="5" t="inlineStr">
        <is>
          <t>Name</t>
        </is>
      </c>
      <c r="C6" s="5" t="inlineStr">
        <is>
          <t>Kind</t>
        </is>
      </c>
      <c r="D6" s="5" t="inlineStr">
        <is>
          <t>Ticker</t>
        </is>
      </c>
      <c r="E6" s="5" t="inlineStr">
        <is>
          <t>Metric that matters</t>
        </is>
      </c>
      <c r="F6" s="5" t="inlineStr">
        <is>
          <t>Value</t>
        </is>
      </c>
      <c r="G6" s="5" t="inlineStr">
        <is>
          <t>As of</t>
        </is>
      </c>
      <c r="H6" s="5" t="inlineStr">
        <is>
          <t>Sources</t>
        </is>
      </c>
    </row>
    <row r="7">
      <c r="B7" s="6" t="inlineStr">
        <is>
          <t>Fervo Energy</t>
        </is>
      </c>
      <c r="C7" s="6" t="inlineStr">
        <is>
          <t>public developer</t>
        </is>
      </c>
      <c r="D7" s="6" t="inlineStr">
        <is>
          <t>NASDAQ: FRVO</t>
        </is>
      </c>
      <c r="E7" s="6" t="inlineStr">
        <is>
          <t>cash</t>
        </is>
      </c>
      <c r="F7" s="6" t="inlineStr">
        <is>
          <t>not confirmed</t>
        </is>
      </c>
      <c r="G7" s="6" t="inlineStr">
        <is>
          <t>2026-06-30</t>
        </is>
      </c>
      <c r="H7" s="6" t="inlineStr">
        <is>
          <t>S175</t>
        </is>
      </c>
    </row>
    <row r="8">
      <c r="B8" s="7" t="inlineStr">
        <is>
          <t>Ormat Technologies</t>
        </is>
      </c>
      <c r="C8" s="7" t="inlineStr">
        <is>
          <t>public plant maker and operator</t>
        </is>
      </c>
      <c r="D8" s="7" t="inlineStr">
        <is>
          <t>NYSE: ORA</t>
        </is>
      </c>
      <c r="E8" s="7" t="inlineStr">
        <is>
          <t>Q2 2026 revenue</t>
        </is>
      </c>
      <c r="F8" s="7" t="inlineStr">
        <is>
          <t>not confirmed</t>
        </is>
      </c>
      <c r="G8" s="7" t="inlineStr">
        <is>
          <t>Q2 2026</t>
        </is>
      </c>
      <c r="H8" s="7" t="inlineStr">
        <is>
          <t>S169</t>
        </is>
      </c>
    </row>
    <row r="9">
      <c r="B9" s="6" t="inlineStr">
        <is>
          <t>Baker Hughes</t>
        </is>
      </c>
      <c r="C9" s="6" t="inlineStr">
        <is>
          <t>public oilfield services</t>
        </is>
      </c>
      <c r="D9" s="6" t="inlineStr">
        <is>
          <t>NASDAQ: BKR</t>
        </is>
      </c>
      <c r="E9" s="6" t="inlineStr">
        <is>
          <t>installed capacity anticipated under its Mantle Reach Power agreement</t>
        </is>
      </c>
      <c r="F9" s="6" t="inlineStr">
        <is>
          <t>not confirmed</t>
        </is>
      </c>
      <c r="G9" s="6" t="inlineStr">
        <is>
          <t>2026-06-24</t>
        </is>
      </c>
      <c r="H9" s="6" t="inlineStr">
        <is>
          <t>S189, S92</t>
        </is>
      </c>
    </row>
    <row r="10">
      <c r="B10" s="7" t="inlineStr">
        <is>
          <t>Nabors Industries</t>
        </is>
      </c>
      <c r="C10" s="7" t="inlineStr">
        <is>
          <t>public driller</t>
        </is>
      </c>
      <c r="D10" s="7" t="inlineStr">
        <is>
          <t>NYSE: NBR</t>
        </is>
      </c>
      <c r="E10" s="7" t="inlineStr">
        <is>
          <t>fully diluted stake in Quaise Energy, for a $35 million investment</t>
        </is>
      </c>
      <c r="F10" s="7" t="inlineStr">
        <is>
          <t>not confirmed</t>
        </is>
      </c>
      <c r="G10" s="7" t="inlineStr">
        <is>
          <t>2026-08-27</t>
        </is>
      </c>
      <c r="H10" s="7" t="inlineStr">
        <is>
          <t>S206, S205</t>
        </is>
      </c>
    </row>
    <row r="11" ht="60" customHeight="1">
      <c r="B11" s="4" t="inlineStr">
        <is>
          <r>
            <rPr>
              <rFont val="Calibri"/>
              <b val="1"/>
              <i val="1"/>
              <color rgb="00808080"/>
              <sz val="10"/>
            </rPr>
            <t xml:space="preserve">Source(s): </t>
          </r>
          <r>
            <rPr>
              <rFont val="Calibri"/>
              <i val="1"/>
              <color rgb="00808080"/>
              <sz val="10"/>
            </rPr>
            <t>S175 Earnings call transcript: Fervo Energy falls as q2 2026 loss; S169 Earnings call transcript: Ormat tops Q2 2026 estimates and l; S189 Baker Hughes to back large-scale geothermal plans of Mantle ; S92 Baker Hughes and Mantle Reach Power, an EnCap Energy Transit; S206 Nabors becomes largest shareholder in geothermal driller Qua; S205 Nabors expands geothermal growth platform with US$35 million</t>
          </r>
        </is>
      </c>
    </row>
  </sheetData>
  <mergeCells count="3">
    <mergeCell ref="B11:I11"/>
    <mergeCell ref="B5:I5"/>
    <mergeCell ref="B4:I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I9"/>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Policy</t>
        </is>
      </c>
    </row>
    <row r="2">
      <c r="B2" s="2" t="inlineStr">
        <is>
          <t>subsurface heat mapping for geothermal</t>
        </is>
      </c>
    </row>
    <row r="4" ht="20" customHeight="1">
      <c r="B4" s="3" t="inlineStr">
        <is>
          <t>(1) POLICY ACTIONS (ERW TABLES POLICY_ACTIONS AND POLICY_READS)</t>
        </is>
      </c>
    </row>
    <row r="5" ht="30" customHeight="1">
      <c r="B5" s="4" t="inlineStr">
        <is>
          <r>
            <rPr>
              <rFont val="Calibri"/>
              <b val="1"/>
              <color rgb="002E2D29"/>
              <sz val="10"/>
            </rPr>
            <t xml:space="preserve">Fact: </t>
          </r>
          <r>
            <rPr>
              <rFont val="Calibri"/>
              <color rgb="002E2D29"/>
              <sz val="10"/>
            </rPr>
            <t>DOE announced 99 million USD for 21 geothermal projects on 2026-09-21; the selectees include Fervo, Quaise, Zanskar and XGS, and DOE plans to make project data publicly available (policy_actions, doe:0bc976d9b4ef; gcn.com).</t>
          </r>
        </is>
      </c>
    </row>
    <row r="6">
      <c r="B6" s="5" t="inlineStr">
        <is>
          <t>Date</t>
        </is>
      </c>
      <c r="C6" s="5" t="inlineStr">
        <is>
          <t>Agency</t>
        </is>
      </c>
      <c r="D6" s="5" t="inlineStr">
        <is>
          <t>Type</t>
        </is>
      </c>
      <c r="E6" s="5" t="inlineStr">
        <is>
          <t>Title</t>
        </is>
      </c>
      <c r="F6" s="5" t="inlineStr">
        <is>
          <t>Read (policy_reads) or why it matters</t>
        </is>
      </c>
      <c r="G6" s="5" t="inlineStr">
        <is>
          <t>Link</t>
        </is>
      </c>
    </row>
    <row r="7">
      <c r="B7" s="6" t="inlineStr">
        <is>
          <t>2026-09-21</t>
        </is>
      </c>
      <c r="C7" s="6" t="inlineStr">
        <is>
          <t>DOE</t>
        </is>
      </c>
      <c r="D7" s="6" t="inlineStr">
        <is>
          <t>press release</t>
        </is>
      </c>
      <c r="E7" s="6" t="inlineStr">
        <is>
          <t>Energy Department Announces $99 Million for 21 Projects to Advance U.S. Geothermal Energy Development</t>
        </is>
      </c>
      <c r="F7" s="6" t="inlineStr">
        <is>
          <t>The Department of Energy is giving over $99 million to 21 projects that will test new geothermal energy technologies and drill to find promising underground heat resources. The funding is not final yet, since DOE still has to negotiate with each project and could cancel the deal.</t>
        </is>
      </c>
      <c r="G7" s="6" t="inlineStr">
        <is>
          <t>https://www.energy.gov/articles/energy-department-announces-99-million-21-projects-advance-us-geothermal-energy</t>
        </is>
      </c>
    </row>
    <row r="8">
      <c r="B8" s="7" t="inlineStr">
        <is>
          <t>2026-04-28</t>
        </is>
      </c>
      <c r="C8" s="7" t="inlineStr">
        <is>
          <t>Interior</t>
        </is>
      </c>
      <c r="D8" s="7" t="inlineStr">
        <is>
          <t>notice</t>
        </is>
      </c>
      <c r="E8" s="7" t="inlineStr">
        <is>
          <t>National Environmental Policy Act Implementing Procedures for the Bureau of Land Management</t>
        </is>
      </c>
      <c r="F8" s="7" t="inlineStr">
        <is>
          <t>The Interior notice sets National Environmental Policy Act procedures for the Bureau of Land Management, which governs permitting on federal land. BLM has also adopted categorical exclusions for geothermal permitting (S227, S225). ERW has not read the notice's text, so its effect on exploration is not stated.</t>
        </is>
      </c>
      <c r="G8" s="7" t="inlineStr">
        <is>
          <t>https://www.federalregister.gov/documents/2026/04/28/2026-08235/national-environmental-policy-act-implementing-procedures-for-the-bureau-of-land-management</t>
        </is>
      </c>
    </row>
    <row r="9" ht="30" customHeight="1">
      <c r="B9" s="4" t="inlineStr">
        <is>
          <r>
            <rPr>
              <rFont val="Calibri"/>
              <b val="1"/>
              <i val="1"/>
              <color rgb="00808080"/>
              <sz val="10"/>
            </rPr>
            <t xml:space="preserve">Source(s): </t>
          </r>
          <r>
            <rPr>
              <rFont val="Calibri"/>
              <i val="1"/>
              <color rgb="00808080"/>
              <sz val="10"/>
            </rPr>
            <t>ERW tables policy_actions (Federal Register and agency news) and policy_reads (impact reads, fields kept only when their words are in the action's own text).</t>
          </r>
        </is>
      </c>
    </row>
  </sheetData>
  <mergeCells count="3">
    <mergeCell ref="B9:I9"/>
    <mergeCell ref="B5:I5"/>
    <mergeCell ref="B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I32"/>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Risks</t>
        </is>
      </c>
    </row>
    <row r="2">
      <c r="B2" s="2" t="inlineStr">
        <is>
          <t>subsurface heat mapping for geothermal</t>
        </is>
      </c>
    </row>
    <row r="4" ht="20" customHeight="1">
      <c r="B4" s="3" t="inlineStr">
        <is>
          <t>(1) NO STAND-ALONE PAID MARKET FOR MAPPING</t>
        </is>
      </c>
    </row>
    <row r="5" ht="45" customHeight="1">
      <c r="B5" s="4" t="inlineStr">
        <is>
          <r>
            <rPr>
              <rFont val="Calibri"/>
              <b val="1"/>
              <color rgb="002E2D29"/>
              <sz val="10"/>
            </rPr>
            <t xml:space="preserve">Fact: </t>
          </r>
          <r>
            <rPr>
              <rFont val="Calibri"/>
              <color rgb="002E2D29"/>
              <sz val="10"/>
            </rPr>
            <t>The 8 companies tagged to the niche are explorers, developers that map as part of drilling, and one nonprofit. None is described as a pure software vendor selling maps for a fee. Project InnerSpace's tool is described as free. If mapping is only a step inside drilling or plant development, or is given away, the niche has no revenue pool of its own.</t>
          </r>
        </is>
      </c>
    </row>
    <row r="6" ht="30" customHeight="1">
      <c r="B6" s="4" t="inlineStr">
        <is>
          <r>
            <rPr>
              <rFont val="Calibri"/>
              <b val="1"/>
              <color rgb="002E2D29"/>
              <sz val="10"/>
            </rPr>
            <t xml:space="preserve">Not known: </t>
          </r>
          <r>
            <rPr>
              <rFont val="Calibri"/>
              <color rgb="002E2D29"/>
              <sz val="10"/>
            </rPr>
            <t>Market size for subsurface mapping as a paid service: not disclosed. Customer contract value for Zanskar, Project InnerSpace or XGS: not disclosed.</t>
          </r>
        </is>
      </c>
    </row>
    <row r="7" ht="30" customHeight="1">
      <c r="B7" s="4" t="inlineStr">
        <is>
          <r>
            <rPr>
              <rFont val="Calibri"/>
              <b val="1"/>
              <i val="1"/>
              <color rgb="00808080"/>
              <sz val="10"/>
            </rPr>
            <t xml:space="preserve">Source(s): </t>
          </r>
          <r>
            <rPr>
              <rFont val="Calibri"/>
              <i val="1"/>
              <color rgb="00808080"/>
              <sz val="10"/>
            </rPr>
            <t>E15 ERW table energy_companies; E18 ERW table energy_companies; S13 Project Innerspace launches GeoMap geothermal prospecting to</t>
          </r>
        </is>
      </c>
    </row>
    <row r="9" ht="20" customHeight="1">
      <c r="B9" s="3" t="inlineStr">
        <is>
          <t>(2) MAPPING-LED TARGETING MUST BEAT A RECORD OF DRY EXPLORATORY WELLS</t>
        </is>
      </c>
    </row>
    <row r="10" ht="75" customHeight="1">
      <c r="B10" s="4" t="inlineStr">
        <is>
          <r>
            <rPr>
              <rFont val="Calibri"/>
              <b val="1"/>
              <color rgb="002E2D29"/>
              <sz val="10"/>
            </rPr>
            <t xml:space="preserve">Fact: </t>
          </r>
          <r>
            <rPr>
              <rFont val="Calibri"/>
              <color rgb="002E2D29"/>
              <sz val="10"/>
            </rPr>
            <t>Heatmap News says geothermal exploratory wells have a low success rate. It also says oil and gas companies and the federal government have drilled exploratory wells at one site intermittently since the 1970s, and none reached temperatures hot enough to make the reservoirs commercially viable. Zanskar says its tools give a probability distribution over reservoir locations. If mapped targets do not hit more often than past targets, the value of a map falls. (not confirmed: 1970)</t>
          </r>
        </is>
      </c>
    </row>
    <row r="11" ht="30" customHeight="1">
      <c r="B11" s="4" t="inlineStr">
        <is>
          <r>
            <rPr>
              <rFont val="Calibri"/>
              <b val="1"/>
              <color rgb="002E2D29"/>
              <sz val="10"/>
            </rPr>
            <t xml:space="preserve">Not known: </t>
          </r>
          <r>
            <rPr>
              <rFont val="Calibri"/>
              <color rgb="002E2D29"/>
              <sz val="10"/>
            </rPr>
            <t>Exploratory well success rate: not disclosed. Validated hit rate for Zanskar's method: not disclosed. Number of mapped prospects drilled and confirmed: not disclosed.</t>
          </r>
        </is>
      </c>
    </row>
    <row r="12" ht="15" customHeight="1">
      <c r="B12" s="4" t="inlineStr">
        <is>
          <r>
            <rPr>
              <rFont val="Calibri"/>
              <b val="1"/>
              <i val="1"/>
              <color rgb="00808080"/>
              <sz val="10"/>
            </rPr>
            <t xml:space="preserve">Source(s): </t>
          </r>
          <r>
            <rPr>
              <rFont val="Calibri"/>
              <i val="1"/>
              <color rgb="00808080"/>
              <sz val="10"/>
            </rPr>
            <t>S159 Old-School Geothermal Is Due for a Comeback, Says AI Startup</t>
          </r>
        </is>
      </c>
    </row>
    <row r="14" ht="20" customHeight="1">
      <c r="B14" s="3" t="inlineStr">
        <is>
          <t>(3) DATA ADVANTAGE MAY BE FINITE AND TIED TO ONE OWNER</t>
        </is>
      </c>
    </row>
    <row r="15" ht="45" customHeight="1">
      <c r="B15" s="4" t="inlineStr">
        <is>
          <r>
            <rPr>
              <rFont val="Calibri"/>
              <b val="1"/>
              <color rgb="002E2D29"/>
              <sz val="10"/>
            </rPr>
            <t xml:space="preserve">Fact: </t>
          </r>
          <r>
            <rPr>
              <rFont val="Calibri"/>
              <color rgb="002E2D29"/>
              <sz val="10"/>
            </rPr>
            <t>Zanskar's edge comes from analog data sets of regions never developed, which its cofounders tracked down and acquired. If the data are proprietary and finite, the advantage may not carry to new regions. Zanskar also acquired an underperforming geothermal power plant in New Mexico, which points to a mapper that owns assets rather than one that sells data.</t>
          </r>
        </is>
      </c>
    </row>
    <row r="16" ht="15" customHeight="1">
      <c r="B16" s="4" t="inlineStr">
        <is>
          <r>
            <rPr>
              <rFont val="Calibri"/>
              <b val="1"/>
              <color rgb="002E2D29"/>
              <sz val="10"/>
            </rPr>
            <t xml:space="preserve">Not known: </t>
          </r>
          <r>
            <rPr>
              <rFont val="Calibri"/>
              <color rgb="002E2D29"/>
              <sz val="10"/>
            </rPr>
            <t>How much of this data exists: not disclosed. Revenue and pricing for Zanskar: not disclosed.</t>
          </r>
        </is>
      </c>
    </row>
    <row r="17" ht="15" customHeight="1">
      <c r="B17" s="4" t="inlineStr">
        <is>
          <r>
            <rPr>
              <rFont val="Calibri"/>
              <b val="1"/>
              <i val="1"/>
              <color rgb="00808080"/>
              <sz val="10"/>
            </rPr>
            <t xml:space="preserve">Source(s): </t>
          </r>
          <r>
            <rPr>
              <rFont val="Calibri"/>
              <i val="1"/>
              <color rgb="00808080"/>
              <sz val="10"/>
            </rPr>
            <t>S159 Old-School Geothermal Is Due for a Comeback, Says AI Startup</t>
          </r>
        </is>
      </c>
    </row>
    <row r="19" ht="20" customHeight="1">
      <c r="B19" s="3" t="inlineStr">
        <is>
          <t>(4) CHEAPER DRILLING MAY NARROW THE GAP BETWEEN MAPPING AND DRILLING TO FIND HEAT</t>
        </is>
      </c>
    </row>
    <row r="20" ht="60" customHeight="1">
      <c r="B20" s="4" t="inlineStr">
        <is>
          <r>
            <rPr>
              <rFont val="Calibri"/>
              <b val="1"/>
              <color rgb="002E2D29"/>
              <sz val="10"/>
            </rPr>
            <t xml:space="preserve">Fact: </t>
          </r>
          <r>
            <rPr>
              <rFont val="Calibri"/>
              <color rgb="002E2D29"/>
              <sz val="10"/>
            </rPr>
            <t>Drilling is up to 75% of project cost and 90% of capital cost. Fervo's fastest Cape Station well took 21 days, a 70% reduction from a similar 2022 project, and Nevada pilot wells took 70 days to reach 11,220 feet. The notes read cheaper wells as raising the value of a good map. The same trend could let developers test sites by drilling, which would cut what a developer will pay for a map. The sources do not say which effect wins. (not confirmed: 21, 70, 2022, 11220)</t>
          </r>
        </is>
      </c>
    </row>
    <row r="21" ht="30" customHeight="1">
      <c r="B21" s="4" t="inlineStr">
        <is>
          <r>
            <rPr>
              <rFont val="Calibri"/>
              <b val="1"/>
              <color rgb="002E2D29"/>
              <sz val="10"/>
            </rPr>
            <t xml:space="preserve">Not known: </t>
          </r>
          <r>
            <rPr>
              <rFont val="Calibri"/>
              <color rgb="002E2D29"/>
              <sz val="10"/>
            </rPr>
            <t>Cost per successful well with and without AI-driven targeting: not disclosed. Whether developers pay for maps as wells get cheaper: not disclosed.</t>
          </r>
        </is>
      </c>
    </row>
    <row r="22" ht="30" customHeight="1">
      <c r="B22" s="4" t="inlineStr">
        <is>
          <r>
            <rPr>
              <rFont val="Calibri"/>
              <b val="1"/>
              <i val="1"/>
              <color rgb="00808080"/>
              <sz val="10"/>
            </rPr>
            <t xml:space="preserve">Source(s): </t>
          </r>
          <r>
            <rPr>
              <rFont val="Calibri"/>
              <i val="1"/>
              <color rgb="00808080"/>
              <sz val="10"/>
            </rPr>
            <t>S62 Geothermal: Drilling accounts for 75% of project cost and 90; S99 Fervo Energy’s enhanced geothermal project aims to power dat</t>
          </r>
        </is>
      </c>
    </row>
    <row r="24" ht="20" customHeight="1">
      <c r="B24" s="3" t="inlineStr">
        <is>
          <t>(5) DOWNSTREAM POWER ECONOMICS ARE UNPROVEN</t>
        </is>
      </c>
    </row>
    <row r="25" ht="75" customHeight="1">
      <c r="B25" s="4" t="inlineStr">
        <is>
          <r>
            <rPr>
              <rFont val="Calibri"/>
              <b val="1"/>
              <color rgb="002E2D29"/>
              <sz val="10"/>
            </rPr>
            <t xml:space="preserve">Fact: </t>
          </r>
          <r>
            <rPr>
              <rFont val="Calibri"/>
              <color rgb="002E2D29"/>
              <sz val="10"/>
            </rPr>
            <t>Fervo's Cape Station Phase I costs about $7,000 per kW, Phase II is targeted at $5,500 per kW, and the long-term target is $3,000 per kW. The DOE Enhanced Geothermal Shot goal is $45 per MWh by 2035. Nevada industrial retail power averaged 79.816667 USD/MWh in 2025. The PPA terms of Fervo's 396 MW Google deal were not disclosed. If plant costs do not fall as targeted, or offtake prices are low, project demand and the funding behind it weaken. (not confirmed: 7000, 5500, 3000, 45)</t>
          </r>
        </is>
      </c>
    </row>
    <row r="26" ht="15" customHeight="1">
      <c r="B26" s="4" t="inlineStr">
        <is>
          <r>
            <rPr>
              <rFont val="Calibri"/>
              <b val="1"/>
              <color rgb="002E2D29"/>
              <sz val="10"/>
            </rPr>
            <t xml:space="preserve">Not known: </t>
          </r>
          <r>
            <rPr>
              <rFont val="Calibri"/>
              <color rgb="002E2D29"/>
              <sz val="10"/>
            </rPr>
            <t>PPA prices for the Google deal: not disclosed. Whether the Phase II and long-term cost targets are met: not disclosed.</t>
          </r>
        </is>
      </c>
    </row>
    <row r="27" ht="30" customHeight="1">
      <c r="B27" s="4" t="inlineStr">
        <is>
          <r>
            <rPr>
              <rFont val="Calibri"/>
              <b val="1"/>
              <i val="1"/>
              <color rgb="00808080"/>
              <sz val="10"/>
            </rPr>
            <t xml:space="preserve">Source(s): </t>
          </r>
          <r>
            <rPr>
              <rFont val="Calibri"/>
              <i val="1"/>
              <color rgb="00808080"/>
              <sz val="10"/>
            </rPr>
            <t>S99 Fervo Energy’s enhanced geothermal project aims to power dat; S43 Enhanced Geothermal Shot; E26 ERW table eia_retail_electricity_prices; S100 Fervo and Google sign world’s largest deal for next-gen geot</t>
          </r>
        </is>
      </c>
    </row>
    <row r="29" ht="20" customHeight="1">
      <c r="B29" s="3" t="inlineStr">
        <is>
          <t>(6) LARGE RESOURCE ESTIMATES ARE SCENARIO-BASED, WHILE BUILT OUTPUT IS FLAT</t>
        </is>
      </c>
    </row>
    <row r="30" ht="75" customHeight="1">
      <c r="B30" s="4" t="inlineStr">
        <is>
          <r>
            <rPr>
              <rFont val="Calibri"/>
              <b val="1"/>
              <color rgb="002E2D29"/>
              <sz val="10"/>
            </rPr>
            <t xml:space="preserve">Fact: </t>
          </r>
          <r>
            <rPr>
              <rFont val="Calibri"/>
              <color rgb="002E2D29"/>
              <sz val="10"/>
            </rPr>
            <t>USGS gives up to 135 gigawatts of baseload power in the Great Basin if enhanced geothermal systems are deployed at scale, and a 2025 Stanford paper puts blind and hidden western US systems at about 30 GWe. Meanwhile California geothermal generation was 11127544.01 MWh in 2021 and 10746514.85 MWh in 2025, and planned geothermal in the EIA table is 26.5 MW in NV and 130.8 MW in UT. If the large estimates depend on technology not yet deployed, mapping demand rests on capacity that does not yet exist. (not confirmed: 135, 30)</t>
          </r>
        </is>
      </c>
    </row>
    <row r="31" ht="30" customHeight="1">
      <c r="B31" s="4" t="inlineStr">
        <is>
          <r>
            <rPr>
              <rFont val="Calibri"/>
              <b val="1"/>
              <color rgb="002E2D29"/>
              <sz val="10"/>
            </rPr>
            <t xml:space="preserve">Not known: </t>
          </r>
          <r>
            <rPr>
              <rFont val="Calibri"/>
              <color rgb="002E2D29"/>
              <sz val="10"/>
            </rPr>
            <t>How much of the resource can be developed at what cost: not disclosed. Timing of capacity additions beyond the planned units: not disclosed.</t>
          </r>
        </is>
      </c>
    </row>
    <row r="32" ht="30" customHeight="1">
      <c r="B32" s="4" t="inlineStr">
        <is>
          <r>
            <rPr>
              <rFont val="Calibri"/>
              <b val="1"/>
              <i val="1"/>
              <color rgb="00808080"/>
              <sz val="10"/>
            </rPr>
            <t xml:space="preserve">Source(s): </t>
          </r>
          <r>
            <rPr>
              <rFont val="Calibri"/>
              <i val="1"/>
              <color rgb="00808080"/>
              <sz val="10"/>
            </rPr>
            <t>S109 USGS Discovers Major Energy Boost for United States - Newswe; S30 PROCEEDINGS, 50th Workshop on Geothermal Reservoir Engineeri; E23 ERW table eia_state_generation_monthly; E8 ERW table eia860m_planned_generators</t>
          </r>
        </is>
      </c>
    </row>
  </sheetData>
  <mergeCells count="24">
    <mergeCell ref="B7:I7"/>
    <mergeCell ref="B25:I25"/>
    <mergeCell ref="B16:I16"/>
    <mergeCell ref="B22:I22"/>
    <mergeCell ref="B31:I31"/>
    <mergeCell ref="B27:I27"/>
    <mergeCell ref="B12:I12"/>
    <mergeCell ref="B21:I21"/>
    <mergeCell ref="B11:I11"/>
    <mergeCell ref="B14:I14"/>
    <mergeCell ref="B17:I17"/>
    <mergeCell ref="B29:I29"/>
    <mergeCell ref="B10:I10"/>
    <mergeCell ref="B19:I19"/>
    <mergeCell ref="B9:I9"/>
    <mergeCell ref="B30:I30"/>
    <mergeCell ref="B15:I15"/>
    <mergeCell ref="B6:I6"/>
    <mergeCell ref="B24:I24"/>
    <mergeCell ref="B20:I20"/>
    <mergeCell ref="B5:I5"/>
    <mergeCell ref="B32:I32"/>
    <mergeCell ref="B4:I4"/>
    <mergeCell ref="B26:I2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293"/>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Sources</t>
        </is>
      </c>
    </row>
    <row r="2">
      <c r="B2" s="2" t="inlineStr">
        <is>
          <t>subsurface heat mapping for geothermal</t>
        </is>
      </c>
    </row>
    <row r="4" ht="20" customHeight="1">
      <c r="B4" s="3" t="inlineStr">
        <is>
          <t>(1) EVERY SOURCE, ITS RETRIEVAL DATE AND THE CELLS IT SUPPORTS</t>
        </is>
      </c>
    </row>
    <row r="5">
      <c r="B5" s="5" t="inlineStr">
        <is>
          <t>Id</t>
        </is>
      </c>
      <c r="C5" s="5" t="inlineStr">
        <is>
          <t>Title</t>
        </is>
      </c>
      <c r="D5" s="5" t="inlineStr">
        <is>
          <t>URL</t>
        </is>
      </c>
      <c r="E5" s="5" t="inlineStr">
        <is>
          <t>Retrieved</t>
        </is>
      </c>
      <c r="F5" s="5" t="inlineStr">
        <is>
          <t>Page age</t>
        </is>
      </c>
      <c r="G5" s="5" t="inlineStr">
        <is>
          <t>Cells it supports</t>
        </is>
      </c>
    </row>
    <row r="6">
      <c r="B6" s="6" t="inlineStr">
        <is>
          <t>S1</t>
        </is>
      </c>
      <c r="C6" s="6" t="inlineStr">
        <is>
          <t>Zanskar raises $115M to support expansion of AI-based geothermal discovery platform</t>
        </is>
      </c>
      <c r="D6" s="6" t="inlineStr">
        <is>
          <t>https://www.thinkgeoenergy.com/zanskar-raises-115m-for-ai-based-geothermal-expansion/</t>
        </is>
      </c>
      <c r="E6" s="6" t="inlineStr">
        <is>
          <t>2026-09-28</t>
        </is>
      </c>
      <c r="F6" s="6" t="inlineStr">
        <is>
          <t>January 24, 2026</t>
        </is>
      </c>
      <c r="G6" s="6" t="inlineStr">
        <is>
          <t>'Landscape'!B7:J7; 'Landscape'!B14</t>
        </is>
      </c>
    </row>
    <row r="7">
      <c r="B7" s="7" t="inlineStr">
        <is>
          <t>S2</t>
        </is>
      </c>
      <c r="C7" s="7" t="inlineStr">
        <is>
          <t>Zanskar Raises $115 Million to Scale AI-Driven Geothermal Discovery and Power Plant Development - ESG News</t>
        </is>
      </c>
      <c r="D7" s="7" t="inlineStr">
        <is>
          <t>https://esgnews.com/zanskar-raises-115-million-to-scale-ai-driven-geothermal-discovery-and-power-plant-development/</t>
        </is>
      </c>
      <c r="E7" s="7" t="inlineStr">
        <is>
          <t>2026-09-28</t>
        </is>
      </c>
      <c r="F7" s="7" t="inlineStr">
        <is>
          <t>January 23, 2026</t>
        </is>
      </c>
      <c r="G7" s="7" t="inlineStr">
        <is>
          <t>searched, not cited in a cell</t>
        </is>
      </c>
    </row>
    <row r="8">
      <c r="B8" s="6" t="inlineStr">
        <is>
          <t>S3</t>
        </is>
      </c>
      <c r="C8" s="6" t="inlineStr">
        <is>
          <t>Zanskar raises $115M Series C Following Record-Setting Year of Geothermal Discoveries</t>
        </is>
      </c>
      <c r="D8" s="6" t="inlineStr">
        <is>
          <t>https://finance.yahoo.com/news/zanskar-raises-115m-series-c-130000291.html</t>
        </is>
      </c>
      <c r="E8" s="6" t="inlineStr">
        <is>
          <t>2026-09-28</t>
        </is>
      </c>
      <c r="F8" s="6" t="inlineStr">
        <is>
          <t>January 21, 2026</t>
        </is>
      </c>
      <c r="G8" s="6" t="inlineStr">
        <is>
          <t>searched, not cited in a cell</t>
        </is>
      </c>
    </row>
    <row r="9">
      <c r="B9" s="7" t="inlineStr">
        <is>
          <t>S4</t>
        </is>
      </c>
      <c r="C9" s="7" t="inlineStr">
        <is>
          <t>Armed with $115 million, geothermal startup Zanskar gets ready to build | Latitude Media</t>
        </is>
      </c>
      <c r="D9" s="7" t="inlineStr">
        <is>
          <t>https://www.latitudemedia.com/news/armed-with-115-million-geothermal-startup-zanskar-gets-ready-to-build/</t>
        </is>
      </c>
      <c r="E9" s="7" t="inlineStr">
        <is>
          <t>2026-09-28</t>
        </is>
      </c>
      <c r="F9" s="7" t="inlineStr">
        <is>
          <t>January 21, 2026</t>
        </is>
      </c>
      <c r="G9" s="7" t="inlineStr">
        <is>
          <t>searched, not cited in a cell</t>
        </is>
      </c>
    </row>
    <row r="10">
      <c r="B10" s="6" t="inlineStr">
        <is>
          <t>S5</t>
        </is>
      </c>
      <c r="C10" s="6" t="inlineStr">
        <is>
          <t>Geothermal Startup Zanskar Raises $115 Million to Find and Develop Carbon-Free Energy Using AI - ESG Today</t>
        </is>
      </c>
      <c r="D10" s="6" t="inlineStr">
        <is>
          <t>https://www.esgtoday.com/geothermal-startup-zanskar-raises-115-million-to-find-and-develop-carbon-free-energy-using-ai/</t>
        </is>
      </c>
      <c r="E10" s="6" t="inlineStr">
        <is>
          <t>2026-09-28</t>
        </is>
      </c>
      <c r="F10" s="6" t="inlineStr">
        <is>
          <t>January 22, 2026</t>
        </is>
      </c>
      <c r="G10" s="6" t="inlineStr">
        <is>
          <t>searched, not cited in a cell</t>
        </is>
      </c>
    </row>
    <row r="11">
      <c r="B11" s="7" t="inlineStr">
        <is>
          <t>S6</t>
        </is>
      </c>
      <c r="C11" s="7" t="inlineStr">
        <is>
          <t>Zanskar Raises $115 Million to Propel Geothermal Discoveries - Heatmap News</t>
        </is>
      </c>
      <c r="D11" s="7" t="inlineStr">
        <is>
          <t>https://heatmap.news/climate-tech/zanskar-series-c</t>
        </is>
      </c>
      <c r="E11" s="7" t="inlineStr">
        <is>
          <t>2026-09-28</t>
        </is>
      </c>
      <c r="F11" s="7" t="inlineStr">
        <is>
          <t>January 21, 2026</t>
        </is>
      </c>
      <c r="G11" s="7" t="inlineStr">
        <is>
          <t>searched, not cited in a cell</t>
        </is>
      </c>
    </row>
    <row r="12">
      <c r="B12" s="6" t="inlineStr">
        <is>
          <t>S7</t>
        </is>
      </c>
      <c r="C12" s="6" t="inlineStr">
        <is>
          <t>Zanskar Secures $115 Million Series C to Advance AI-Driven Geothermal Development in the US</t>
        </is>
      </c>
      <c r="D12" s="6" t="inlineStr">
        <is>
          <t>https://onestopesg.com/esg-news/zanskar-secures-115-million-series-c-to-advance-ai-driven-geothermal-development-in-the-us-1769091441993</t>
        </is>
      </c>
      <c r="E12" s="6" t="inlineStr">
        <is>
          <t>2026-09-28</t>
        </is>
      </c>
      <c r="F12" s="6" t="inlineStr">
        <is>
          <t>April 3, 2026</t>
        </is>
      </c>
      <c r="G12" s="6" t="inlineStr">
        <is>
          <t>searched, not cited in a cell</t>
        </is>
      </c>
    </row>
    <row r="13">
      <c r="B13" s="7" t="inlineStr">
        <is>
          <t>S8</t>
        </is>
      </c>
      <c r="C13" s="7" t="inlineStr">
        <is>
          <t>Zanskar raises $115M Series C Following Record-Setting Year of Geothermal Discoveries</t>
        </is>
      </c>
      <c r="D13" s="7" t="inlineStr">
        <is>
          <t>https://www.globenewswire.com/news-release/2026/01/21/3222733/0/en/Zanskar-raises-115M-Series-C-Following-Record-Setting-Year-of-Geothermal-Discoveries.html</t>
        </is>
      </c>
      <c r="E13" s="7" t="inlineStr">
        <is>
          <t>2026-09-28</t>
        </is>
      </c>
      <c r="F13" s="7" t="inlineStr">
        <is>
          <t>January 21, 2026</t>
        </is>
      </c>
      <c r="G13" s="7" t="inlineStr">
        <is>
          <t>'Landscape'!B7:J7; 'Landscape'!B14</t>
        </is>
      </c>
    </row>
    <row r="14">
      <c r="B14" s="6" t="inlineStr">
        <is>
          <t>S9</t>
        </is>
      </c>
      <c r="C14" s="6" t="inlineStr">
        <is>
          <t>Zanskar's $115M bet on overlooked geothermal power</t>
        </is>
      </c>
      <c r="D14" s="6" t="inlineStr">
        <is>
          <t>https://www.techbuzz.ai/articles/zanskar-s-115m-bet-on-overlooked-geothermal-power</t>
        </is>
      </c>
      <c r="E14" s="6" t="inlineStr">
        <is>
          <t>2026-09-28</t>
        </is>
      </c>
      <c r="F14" s="6" t="inlineStr">
        <is>
          <t>January 21, 2026</t>
        </is>
      </c>
      <c r="G14" s="6" t="inlineStr">
        <is>
          <t>searched, not cited in a cell</t>
        </is>
      </c>
    </row>
    <row r="15">
      <c r="B15" s="7" t="inlineStr">
        <is>
          <t>S10</t>
        </is>
      </c>
      <c r="C15" s="7" t="inlineStr">
        <is>
          <t>Zanskar raises $115M Series C following record-setting year of geothermal discoveries – Utah Business</t>
        </is>
      </c>
      <c r="D15" s="7" t="inlineStr">
        <is>
          <t>https://www.utahbusiness.com/press-releases/2026/01/23/zanskar-raises-115-million-series-c-following-year-geothermal-discoveries/</t>
        </is>
      </c>
      <c r="E15" s="7" t="inlineStr">
        <is>
          <t>2026-09-28</t>
        </is>
      </c>
      <c r="F15" s="7" t="inlineStr">
        <is>
          <t>January 24, 2026</t>
        </is>
      </c>
      <c r="G15" s="7" t="inlineStr">
        <is>
          <t>searched, not cited in a cell</t>
        </is>
      </c>
    </row>
    <row r="16">
      <c r="B16" s="6" t="inlineStr">
        <is>
          <t>S11</t>
        </is>
      </c>
      <c r="C16" s="6" t="inlineStr">
        <is>
          <t>Illustration: Sarah Grillo/Axios</t>
        </is>
      </c>
      <c r="D16" s="6" t="inlineStr">
        <is>
          <t>https://www.axios.com/pro/climate-deals/2026/01/21/zanskar-115m-ai-geothermal</t>
        </is>
      </c>
      <c r="E16" s="6" t="inlineStr">
        <is>
          <t>2026-09-28</t>
        </is>
      </c>
      <c r="F16" s="6" t="inlineStr"/>
      <c r="G16" s="6" t="inlineStr">
        <is>
          <t>searched, not cited in a cell</t>
        </is>
      </c>
    </row>
    <row r="17">
      <c r="B17" s="7" t="inlineStr">
        <is>
          <t>S12</t>
        </is>
      </c>
      <c r="C17" s="7" t="inlineStr">
        <is>
          <t>Project InnerSpace launches GeoMap Beta geothermal exploration tool</t>
        </is>
      </c>
      <c r="D17" s="7" t="inlineStr">
        <is>
          <t>https://www.thinkgeoenergy.com/project-innerspace-launches-geomap-beta-geothermal-exploration-tool/</t>
        </is>
      </c>
      <c r="E17" s="7" t="inlineStr">
        <is>
          <t>2026-09-28</t>
        </is>
      </c>
      <c r="F17" s="7" t="inlineStr">
        <is>
          <t>December 1, 2023</t>
        </is>
      </c>
      <c r="G17" s="7" t="inlineStr">
        <is>
          <t>'Scope'!B6; 'Scope'!B10:C10; 'Scope'!B15; 'Fundamentals'!B23; 'Landscape'!B13:J13; 'Landscape'!B14</t>
        </is>
      </c>
    </row>
    <row r="18">
      <c r="B18" s="6" t="inlineStr">
        <is>
          <t>S13</t>
        </is>
      </c>
      <c r="C18" s="6" t="inlineStr">
        <is>
          <t>Project Innerspace launches GeoMap geothermal prospecting tool for North America</t>
        </is>
      </c>
      <c r="D18" s="6" t="inlineStr">
        <is>
          <t>https://www.thinkgeoenergy.com/project-innerspace-launches-geomap-geothermal-prospecting-tool-for-north-america/</t>
        </is>
      </c>
      <c r="E18" s="6" t="inlineStr">
        <is>
          <t>2026-09-28</t>
        </is>
      </c>
      <c r="F18" s="6" t="inlineStr">
        <is>
          <t>June 4, 2024</t>
        </is>
      </c>
      <c r="G18" s="6" t="inlineStr">
        <is>
          <t>'Fundamentals'!B23; 'Landscape'!B13:J13; 'Landscape'!B14; 'Risks'!B7</t>
        </is>
      </c>
    </row>
    <row r="19">
      <c r="B19" s="7" t="inlineStr">
        <is>
          <t>S14</t>
        </is>
      </c>
      <c r="C19" s="7" t="inlineStr">
        <is>
          <t>Project InnerSpace completes global geothermal resource map with GeoMap Europe</t>
        </is>
      </c>
      <c r="D19" s="7" t="inlineStr">
        <is>
          <t>https://www.thinkgeoenergy.com/project-innerspace-completes-global-geothermal-resource-map-with-geomap-europe/</t>
        </is>
      </c>
      <c r="E19" s="7" t="inlineStr">
        <is>
          <t>2026-09-28</t>
        </is>
      </c>
      <c r="F19" s="7" t="inlineStr">
        <is>
          <t>November 23, 2025</t>
        </is>
      </c>
      <c r="G19" s="7" t="inlineStr">
        <is>
          <t>'Scope'!B10:C10; 'Scope'!B15; 'Fundamentals'!B23; 'Landscape'!B13:J13; 'Landscape'!B14</t>
        </is>
      </c>
    </row>
    <row r="20">
      <c r="B20" s="6" t="inlineStr">
        <is>
          <t>S15</t>
        </is>
      </c>
      <c r="C20" s="6" t="inlineStr">
        <is>
          <t>Project InnerSpace Launches GeoMap Europe</t>
        </is>
      </c>
      <c r="D20" s="6" t="inlineStr">
        <is>
          <t>https://jpt.spe.org/project-innerspace-launches-geomap-europe</t>
        </is>
      </c>
      <c r="E20" s="6" t="inlineStr">
        <is>
          <t>2026-09-28</t>
        </is>
      </c>
      <c r="F20" s="6" t="inlineStr">
        <is>
          <t>November 20, 2025</t>
        </is>
      </c>
      <c r="G20" s="6" t="inlineStr">
        <is>
          <t>searched, not cited in a cell</t>
        </is>
      </c>
    </row>
    <row r="21">
      <c r="B21" s="7" t="inlineStr">
        <is>
          <t>S16</t>
        </is>
      </c>
      <c r="C21" s="7" t="inlineStr">
        <is>
          <t>GeoMap™ Beta | Project InnerSpace</t>
        </is>
      </c>
      <c r="D21" s="7" t="inlineStr">
        <is>
          <t>https://geomap.projectinnerspace.org/</t>
        </is>
      </c>
      <c r="E21" s="7" t="inlineStr">
        <is>
          <t>2026-09-28</t>
        </is>
      </c>
      <c r="F21" s="7" t="inlineStr"/>
      <c r="G21" s="7" t="inlineStr">
        <is>
          <t>'Landscape'!B13:J13; 'Landscape'!B14</t>
        </is>
      </c>
    </row>
    <row r="22">
      <c r="B22" s="6" t="inlineStr">
        <is>
          <t>S17</t>
        </is>
      </c>
      <c r="C22" s="6" t="inlineStr">
        <is>
          <t>Project InnerSpace Launches GeoMap™ Middle East, Highlighting Geothermal Prospects for Firm Electricity, Cooling, and Storage</t>
        </is>
      </c>
      <c r="D22" s="6" t="inlineStr">
        <is>
          <t>https://www.prnewswire.com/news-releases/project-innerspace-launches-geomap-middle-east-highlighting-geothermal-prospects-for-firm-electricity-cooling-and-storage-302568369.html</t>
        </is>
      </c>
      <c r="E22" s="6" t="inlineStr">
        <is>
          <t>2026-09-28</t>
        </is>
      </c>
      <c r="F22" s="6" t="inlineStr">
        <is>
          <t>September 30, 2025</t>
        </is>
      </c>
      <c r="G22" s="6" t="inlineStr">
        <is>
          <t>searched, not cited in a cell</t>
        </is>
      </c>
    </row>
    <row r="23">
      <c r="B23" s="7" t="inlineStr">
        <is>
          <t>S18</t>
        </is>
      </c>
      <c r="C23" s="7" t="inlineStr">
        <is>
          <t>Project InnerSpace Launches GeoMap™ South America, Revealing Up To 6000 GW of Untapped Geothermal Power Potential, Ranking Amongst Highest Quality Geo</t>
        </is>
      </c>
      <c r="D23" s="7" t="inlineStr">
        <is>
          <t>https://www.prnewswire.com/news-releases/project-innerspace-launches-geomap-south-america-revealing-up-to-6000-gw-of-untapped-geothermal-power-potential-ranking-amongst-highest-quality-geothermal-resources-in-the-world-302584049.html</t>
        </is>
      </c>
      <c r="E23" s="7" t="inlineStr">
        <is>
          <t>2026-09-28</t>
        </is>
      </c>
      <c r="F23" s="7" t="inlineStr">
        <is>
          <t>October 15, 2025</t>
        </is>
      </c>
      <c r="G23" s="7" t="inlineStr">
        <is>
          <t>searched, not cited in a cell</t>
        </is>
      </c>
    </row>
    <row r="24">
      <c r="B24" s="6" t="inlineStr">
        <is>
          <t>S19</t>
        </is>
      </c>
      <c r="C24" s="6" t="inlineStr">
        <is>
          <t>Project InnerSpace's GeoMap™ Europe Showcases the Continent's Next Century of Geothermal Development Potential</t>
        </is>
      </c>
      <c r="D24" s="6" t="inlineStr">
        <is>
          <t>https://www.prnewswire.com/news-releases/project-innerspaces-geomap-europe-showcases-the-continents-next-century-of-geothermal-development-potential-302619224.html</t>
        </is>
      </c>
      <c r="E24" s="6" t="inlineStr">
        <is>
          <t>2026-09-28</t>
        </is>
      </c>
      <c r="F24" s="6" t="inlineStr">
        <is>
          <t>November 19, 2025</t>
        </is>
      </c>
      <c r="G24" s="6" t="inlineStr">
        <is>
          <t>searched, not cited in a cell</t>
        </is>
      </c>
    </row>
    <row r="25">
      <c r="B25" s="7" t="inlineStr">
        <is>
          <t>S20</t>
        </is>
      </c>
      <c r="C25" s="7" t="inlineStr">
        <is>
          <t>Project InnerSpace Launches GeoMap™ Oceania, Revealing Nearly 1,600 GW of Untapped Geothermal Potential in Australia and 100 GW in New Zealand</t>
        </is>
      </c>
      <c r="D25" s="7" t="inlineStr">
        <is>
          <t>https://www.prnewswire.com/apac/news-releases/project-innerspace-launches-geomap-oceania-revealing-nearly-1-600-gw-of-untapped-geothermal-potential-in-australia-and-100-gw-in-new-zealand-302537221.html</t>
        </is>
      </c>
      <c r="E25" s="7" t="inlineStr">
        <is>
          <t>2026-09-28</t>
        </is>
      </c>
      <c r="F25" s="7" t="inlineStr">
        <is>
          <t>August 25, 2025</t>
        </is>
      </c>
      <c r="G25" s="7" t="inlineStr">
        <is>
          <t>searched, not cited in a cell</t>
        </is>
      </c>
    </row>
    <row r="26">
      <c r="B26" s="6" t="inlineStr">
        <is>
          <t>S21</t>
        </is>
      </c>
      <c r="C26" s="6" t="inlineStr">
        <is>
          <t>Bill Gates-backed geothermal developer Fervo raises $1.89B in IPO | ESG Dive</t>
        </is>
      </c>
      <c r="D26" s="6" t="inlineStr">
        <is>
          <t>https://www.esgdive.com/news/bill-gates-backed-geothermal-developer-fervo-raises-189b-in-ipo/820131/</t>
        </is>
      </c>
      <c r="E26" s="6" t="inlineStr">
        <is>
          <t>2026-09-28</t>
        </is>
      </c>
      <c r="F26" s="6" t="inlineStr">
        <is>
          <t>May 13, 2026</t>
        </is>
      </c>
      <c r="G26" s="6" t="inlineStr">
        <is>
          <t>'Trends'!B60:F60; 'Trends'!B61:F61; 'Trends'!B62:F62; 'Trends'!B63:F63; 'Trends'!B64:F64; 'Trends'!B65:F65; 'Trends'!B66</t>
        </is>
      </c>
    </row>
    <row r="27">
      <c r="B27" s="7" t="inlineStr">
        <is>
          <t>S22</t>
        </is>
      </c>
      <c r="C27" s="7" t="inlineStr">
        <is>
          <t>FRVO: Fervo Energy Co - Stock Price, Quote and News - CNBC</t>
        </is>
      </c>
      <c r="D27" s="7" t="inlineStr">
        <is>
          <t>https://www.cnbc.com/quotes/FRVO</t>
        </is>
      </c>
      <c r="E27" s="7" t="inlineStr">
        <is>
          <t>2026-09-28</t>
        </is>
      </c>
      <c r="F27" s="7" t="inlineStr"/>
      <c r="G27" s="7" t="inlineStr">
        <is>
          <t>searched, not cited in a cell</t>
        </is>
      </c>
    </row>
    <row r="28">
      <c r="B28" s="6" t="inlineStr">
        <is>
          <t>S23</t>
        </is>
      </c>
      <c r="C28" s="6" t="inlineStr">
        <is>
          <t>Fervo Rides Data Center Energy Boom With 35% IPO Pop | Morningstar</t>
        </is>
      </c>
      <c r="D28" s="6" t="inlineStr">
        <is>
          <t>https://www.morningstar.com/stocks/fervo-rides-data-center-energy-boom-with-35-ipo-pop</t>
        </is>
      </c>
      <c r="E28" s="6" t="inlineStr">
        <is>
          <t>2026-09-28</t>
        </is>
      </c>
      <c r="F28" s="6" t="inlineStr">
        <is>
          <t>May 14, 2026</t>
        </is>
      </c>
      <c r="G28" s="6" t="inlineStr">
        <is>
          <t>searched, not cited in a cell</t>
        </is>
      </c>
    </row>
    <row r="29">
      <c r="B29" s="7" t="inlineStr">
        <is>
          <t>S24</t>
        </is>
      </c>
      <c r="C29" s="7" t="inlineStr">
        <is>
          <t>Fervo Energy IPO: Stock surges in Nasdaq debut</t>
        </is>
      </c>
      <c r="D29" s="7" t="inlineStr">
        <is>
          <t>https://finance.yahoo.com/markets/stocks/articles/fervo-energy-ipo-stock-surges-125618514.html</t>
        </is>
      </c>
      <c r="E29" s="7" t="inlineStr">
        <is>
          <t>2026-09-28</t>
        </is>
      </c>
      <c r="F29" s="7" t="inlineStr">
        <is>
          <t>May 14, 2026</t>
        </is>
      </c>
      <c r="G29" s="7" t="inlineStr">
        <is>
          <t>searched, not cited in a cell</t>
        </is>
      </c>
    </row>
    <row r="30">
      <c r="B30" s="6" t="inlineStr">
        <is>
          <t>S25</t>
        </is>
      </c>
      <c r="C30" s="6" t="inlineStr">
        <is>
          <t>Here's Everything Investors Need to Know About the Fervo Energy IPO | The Motley Fool</t>
        </is>
      </c>
      <c r="D30" s="6" t="inlineStr">
        <is>
          <t>https://www.fool.com/investing/2026/05/13/heres-everything-investors-need-to-know-about-the/</t>
        </is>
      </c>
      <c r="E30" s="6" t="inlineStr">
        <is>
          <t>2026-09-28</t>
        </is>
      </c>
      <c r="F30" s="6" t="inlineStr">
        <is>
          <t>May 13, 2026</t>
        </is>
      </c>
      <c r="G30" s="6" t="inlineStr">
        <is>
          <t>searched, not cited in a cell</t>
        </is>
      </c>
    </row>
    <row r="31">
      <c r="B31" s="7" t="inlineStr">
        <is>
          <t>S26</t>
        </is>
      </c>
      <c r="C31" s="7" t="inlineStr">
        <is>
          <t>Fervo Energy Announces Pricing of its Upsized Initial Public Offering - Fervo Energy</t>
        </is>
      </c>
      <c r="D31" s="7" t="inlineStr">
        <is>
          <t>https://fervoenergy.com/fervo-energy-announces-pricing-of-its-upsized-initial-public-offering/</t>
        </is>
      </c>
      <c r="E31" s="7" t="inlineStr">
        <is>
          <t>2026-09-28</t>
        </is>
      </c>
      <c r="F31" s="7" t="inlineStr">
        <is>
          <t>May 13, 2026</t>
        </is>
      </c>
      <c r="G31" s="7" t="inlineStr">
        <is>
          <t>searched, not cited in a cell</t>
        </is>
      </c>
    </row>
    <row r="32">
      <c r="B32" s="6" t="inlineStr">
        <is>
          <t>S27</t>
        </is>
      </c>
      <c r="C32" s="6" t="inlineStr">
        <is>
          <t>Fervo Energy Co - Form 10-Q - FY2026</t>
        </is>
      </c>
      <c r="D32" s="6" t="inlineStr">
        <is>
          <t>https://www.sec.gov/Archives/edgar/data/0001853868/000162828026056457/frvo-20260630.htm</t>
        </is>
      </c>
      <c r="E32" s="6" t="inlineStr">
        <is>
          <t>2026-09-28</t>
        </is>
      </c>
      <c r="F32" s="6" t="inlineStr"/>
      <c r="G32" s="6" t="inlineStr">
        <is>
          <t>searched, not cited in a cell</t>
        </is>
      </c>
    </row>
    <row r="33">
      <c r="B33" s="7" t="inlineStr">
        <is>
          <t>S28</t>
        </is>
      </c>
      <c r="C33" s="7" t="inlineStr">
        <is>
          <t>Bill Gates-Backed Fervo Energy Debuts On Nasdaq — FRVO Stock Soars 40%</t>
        </is>
      </c>
      <c r="D33" s="7" t="inlineStr">
        <is>
          <t>https://stocktwits.com/news-articles/markets/equity/frvo-ipo-fervo-energy-shares-bill-gates-backed-company-nasdaq-debut/cZXLpw3ReKj</t>
        </is>
      </c>
      <c r="E33" s="7" t="inlineStr">
        <is>
          <t>2026-09-28</t>
        </is>
      </c>
      <c r="F33" s="7" t="inlineStr">
        <is>
          <t>August 21, 2026</t>
        </is>
      </c>
      <c r="G33" s="7" t="inlineStr">
        <is>
          <t>searched, not cited in a cell</t>
        </is>
      </c>
    </row>
    <row r="34">
      <c r="B34" s="6" t="inlineStr">
        <is>
          <t>S29</t>
        </is>
      </c>
      <c r="C34" s="6" t="inlineStr">
        <is>
          <t>Fervo Energy (Nasdaq: FRVO) posts Q1 loss but raises $2.2B IPO cash</t>
        </is>
      </c>
      <c r="D34" s="6" t="inlineStr">
        <is>
          <t>https://www.stocktitan.net/sec-filings/FRVO/10-q-fervo-energy-co-quarterly-earnings-report-ae5ca4530fb2.html</t>
        </is>
      </c>
      <c r="E34" s="6" t="inlineStr">
        <is>
          <t>2026-09-28</t>
        </is>
      </c>
      <c r="F34" s="6" t="inlineStr">
        <is>
          <t>June 23, 2026</t>
        </is>
      </c>
      <c r="G34" s="6" t="inlineStr">
        <is>
          <t>searched, not cited in a cell</t>
        </is>
      </c>
    </row>
    <row r="35">
      <c r="B35" s="7" t="inlineStr">
        <is>
          <t>S30</t>
        </is>
      </c>
      <c r="C35" s="7" t="inlineStr">
        <is>
          <t>PROCEEDINGS, 50th Workshop on Geothermal Reservoir Engineering</t>
        </is>
      </c>
      <c r="D35" s="7" t="inlineStr">
        <is>
          <t>https://pangea.stanford.edu/ERE/pdf/IGAstandard/SGW/2025/Edwards.pdf</t>
        </is>
      </c>
      <c r="E35" s="7" t="inlineStr">
        <is>
          <t>2026-09-28</t>
        </is>
      </c>
      <c r="F35" s="7" t="inlineStr">
        <is>
          <t>February 10, 2025</t>
        </is>
      </c>
      <c r="G35" s="7" t="inlineStr">
        <is>
          <t>'Risks'!B32</t>
        </is>
      </c>
    </row>
    <row r="36">
      <c r="B36" s="6" t="inlineStr">
        <is>
          <t>S31</t>
        </is>
      </c>
      <c r="C36" s="6" t="inlineStr">
        <is>
          <t>GeoThermalCloud: Machine Learning for Geothermal Resource Exploration</t>
        </is>
      </c>
      <c r="D36" s="6" t="inlineStr">
        <is>
          <t>https://arxiv.org/pdf/2210.08685</t>
        </is>
      </c>
      <c r="E36" s="6" t="inlineStr">
        <is>
          <t>2026-09-28</t>
        </is>
      </c>
      <c r="F36" s="6" t="inlineStr"/>
      <c r="G36" s="6" t="inlineStr">
        <is>
          <t>searched, not cited in a cell</t>
        </is>
      </c>
    </row>
    <row r="37">
      <c r="B37" s="7" t="inlineStr">
        <is>
          <t>S32</t>
        </is>
      </c>
      <c r="C37" s="7" t="inlineStr">
        <is>
          <t>A vast hidden energy source is lurking beneath the US | BBC Science Focus Magazine</t>
        </is>
      </c>
      <c r="D37" s="7" t="inlineStr">
        <is>
          <t>https://www.sciencefocus.com/news/energy-source-usa</t>
        </is>
      </c>
      <c r="E37" s="7" t="inlineStr">
        <is>
          <t>2026-09-28</t>
        </is>
      </c>
      <c r="F37" s="7" t="inlineStr">
        <is>
          <t>May 23, 2025</t>
        </is>
      </c>
      <c r="G37" s="7" t="inlineStr">
        <is>
          <t>searched, not cited in a cell</t>
        </is>
      </c>
    </row>
    <row r="38">
      <c r="B38" s="6" t="inlineStr">
        <is>
          <t>S33</t>
        </is>
      </c>
      <c r="C38" s="6" t="inlineStr">
        <is>
          <t>The USGS national geothermal resource assessment: An update | U.S. Geological Survey</t>
        </is>
      </c>
      <c r="D38" s="6" t="inlineStr">
        <is>
          <t>https://www.usgs.gov/publications/usgs-national-geothermal-resource-assessment-update</t>
        </is>
      </c>
      <c r="E38" s="6" t="inlineStr">
        <is>
          <t>2026-09-28</t>
        </is>
      </c>
      <c r="F38" s="6" t="inlineStr"/>
      <c r="G38" s="6" t="inlineStr">
        <is>
          <t>searched, not cited in a cell</t>
        </is>
      </c>
    </row>
    <row r="39">
      <c r="B39" s="7" t="inlineStr">
        <is>
          <t>S34</t>
        </is>
      </c>
      <c r="C39" s="7" t="inlineStr">
        <is>
          <t>Enhanced geothermal systems electric-resource assessment for the Great Basin, southwestern United States</t>
        </is>
      </c>
      <c r="D39" s="7" t="inlineStr">
        <is>
          <t>https://www.usgs.gov/publications/enhanced-geothermal-systems-electric-resource-assessment-great-basin-southwestern</t>
        </is>
      </c>
      <c r="E39" s="7" t="inlineStr">
        <is>
          <t>2026-09-28</t>
        </is>
      </c>
      <c r="F39" s="7" t="inlineStr"/>
      <c r="G39" s="7" t="inlineStr">
        <is>
          <t>searched, not cited in a cell</t>
        </is>
      </c>
    </row>
    <row r="40">
      <c r="B40" s="6" t="inlineStr">
        <is>
          <t>S35</t>
        </is>
      </c>
      <c r="C40" s="6" t="inlineStr">
        <is>
          <t>pubs.usgs.gov</t>
        </is>
      </c>
      <c r="D40" s="6" t="inlineStr">
        <is>
          <t>https://pubs.usgs.gov/fs/2025/3027/fs20253027.pdf</t>
        </is>
      </c>
      <c r="E40" s="6" t="inlineStr">
        <is>
          <t>2026-09-28</t>
        </is>
      </c>
      <c r="F40" s="6" t="inlineStr"/>
      <c r="G40" s="6" t="inlineStr">
        <is>
          <t>searched, not cited in a cell</t>
        </is>
      </c>
    </row>
    <row r="41">
      <c r="B41" s="7" t="inlineStr">
        <is>
          <t>S36</t>
        </is>
      </c>
      <c r="C41" s="7" t="inlineStr">
        <is>
          <t>electric grade geothermal energy resources us</t>
        </is>
      </c>
      <c r="D41" s="7" t="inlineStr">
        <is>
          <t>https://www.usgs.gov/index.php/media/images/electric-grade-geothermal-energy-resources-us</t>
        </is>
      </c>
      <c r="E41" s="7" t="inlineStr">
        <is>
          <t>2026-09-28</t>
        </is>
      </c>
      <c r="F41" s="7" t="inlineStr"/>
      <c r="G41" s="7" t="inlineStr">
        <is>
          <t>searched, not cited in a cell</t>
        </is>
      </c>
    </row>
    <row r="42">
      <c r="B42" s="6" t="inlineStr">
        <is>
          <t>S37</t>
        </is>
      </c>
      <c r="C42" s="6" t="inlineStr">
        <is>
          <t>Enhanced Geothermal Systems Electric-Resource Assessment for the Great Basin, Southwestern United States</t>
        </is>
      </c>
      <c r="D42" s="6" t="inlineStr">
        <is>
          <t>https://pubs.usgs.gov/publication/fs20253027</t>
        </is>
      </c>
      <c r="E42" s="6" t="inlineStr">
        <is>
          <t>2026-09-28</t>
        </is>
      </c>
      <c r="F42" s="6" t="inlineStr"/>
      <c r="G42" s="6" t="inlineStr">
        <is>
          <t>searched, not cited in a cell</t>
        </is>
      </c>
    </row>
    <row r="43">
      <c r="B43" s="7" t="inlineStr">
        <is>
          <t>S38</t>
        </is>
      </c>
      <c r="C43" s="7" t="inlineStr">
        <is>
          <t>Geothermal Resource Investigations Project</t>
        </is>
      </c>
      <c r="D43" s="7" t="inlineStr">
        <is>
          <t>https://www.usgs.gov/centers/gmeg/science/geothermal-resource-investigations-project?page=3</t>
        </is>
      </c>
      <c r="E43" s="7" t="inlineStr">
        <is>
          <t>2026-09-28</t>
        </is>
      </c>
      <c r="F43" s="7" t="inlineStr"/>
      <c r="G43" s="7" t="inlineStr">
        <is>
          <t>searched, not cited in a cell</t>
        </is>
      </c>
    </row>
    <row r="44">
      <c r="B44" s="6" t="inlineStr">
        <is>
          <t>S39</t>
        </is>
      </c>
      <c r="C44" s="6" t="inlineStr">
        <is>
          <t>Zanskar raises $115M Series C Following Record-Setting Year of Geothermal Discoveries</t>
        </is>
      </c>
      <c r="D44" s="6" t="inlineStr">
        <is>
          <t>https://zanskargeothermal.substack.com/p/zanskar-raises-115m-series-c-following</t>
        </is>
      </c>
      <c r="E44" s="6" t="inlineStr">
        <is>
          <t>2026-09-28</t>
        </is>
      </c>
      <c r="F44" s="6" t="inlineStr">
        <is>
          <t>January 21, 2026</t>
        </is>
      </c>
      <c r="G44" s="6" t="inlineStr">
        <is>
          <t>searched, not cited in a cell</t>
        </is>
      </c>
    </row>
    <row r="45">
      <c r="B45" s="7" t="inlineStr">
        <is>
          <t>S40</t>
        </is>
      </c>
      <c r="C45" s="7" t="inlineStr">
        <is>
          <t>Zanskar’s Recent $115 Million Series C Financing Round and What It Means for Utah’s Energy Future</t>
        </is>
      </c>
      <c r="D45" s="7" t="inlineStr">
        <is>
          <t>https://www.utahmoneywatch.com/zanskars-recent-115-million-series-c-financing-round-and-what-it-means-for-utahs-energy-future/</t>
        </is>
      </c>
      <c r="E45" s="7" t="inlineStr">
        <is>
          <t>2026-09-28</t>
        </is>
      </c>
      <c r="F45" s="7" t="inlineStr">
        <is>
          <t>January 29, 2026</t>
        </is>
      </c>
      <c r="G45" s="7" t="inlineStr">
        <is>
          <t>searched, not cited in a cell</t>
        </is>
      </c>
    </row>
    <row r="46">
      <c r="B46" s="6" t="inlineStr">
        <is>
          <t>S41</t>
        </is>
      </c>
      <c r="C46" s="6" t="inlineStr">
        <is>
          <t>Zanskar Raises $115 Million to Scale AI-Driven Geothermal Energy - ESG Tech Report</t>
        </is>
      </c>
      <c r="D46" s="6" t="inlineStr">
        <is>
          <t>https://esgtechreport.com/esg/zanskar-raises-115-million-to-scale-ai-driven-geothermal-energy/</t>
        </is>
      </c>
      <c r="E46" s="6" t="inlineStr">
        <is>
          <t>2026-09-28</t>
        </is>
      </c>
      <c r="F46" s="6" t="inlineStr">
        <is>
          <t>January 24, 2026</t>
        </is>
      </c>
      <c r="G46" s="6" t="inlineStr">
        <is>
          <t>searched, not cited in a cell</t>
        </is>
      </c>
    </row>
    <row r="47">
      <c r="B47" s="7" t="inlineStr">
        <is>
          <t>S42</t>
        </is>
      </c>
      <c r="C47" s="7" t="inlineStr">
        <is>
          <t>Meet 'Big Blind': First U.S. Blind Geothermal System Discovered in over 30 Years</t>
        </is>
      </c>
      <c r="D47" s="7" t="inlineStr">
        <is>
          <t>https://dailygalaxy.com/2025/12/first-blind-geothermal-system-us-zanskar-big-blind/</t>
        </is>
      </c>
      <c r="E47" s="7" t="inlineStr">
        <is>
          <t>2026-09-28</t>
        </is>
      </c>
      <c r="F47" s="7" t="inlineStr">
        <is>
          <t>December 5, 2025</t>
        </is>
      </c>
      <c r="G47" s="7" t="inlineStr">
        <is>
          <t>searched, not cited in a cell</t>
        </is>
      </c>
    </row>
    <row r="48">
      <c r="B48" s="6" t="inlineStr">
        <is>
          <t>S43</t>
        </is>
      </c>
      <c r="C48" s="6" t="inlineStr">
        <is>
          <t>Enhanced Geothermal Shot</t>
        </is>
      </c>
      <c r="D48" s="6" t="inlineStr">
        <is>
          <t>https://www.energy.gov/sites/default/files/2022-09/EERE-ES-Enhancing-Geothermal-508.pdf</t>
        </is>
      </c>
      <c r="E48" s="6" t="inlineStr">
        <is>
          <t>2026-09-28</t>
        </is>
      </c>
      <c r="F48" s="6" t="inlineStr"/>
      <c r="G48" s="6" t="inlineStr">
        <is>
          <t>'Risks'!B27</t>
        </is>
      </c>
    </row>
    <row r="49">
      <c r="B49" s="7" t="inlineStr">
        <is>
          <t>S44</t>
        </is>
      </c>
      <c r="C49" s="7" t="inlineStr">
        <is>
          <t>US Department of Energy launches initiative aimed at reducing geothermal costs - Drilling Contractor</t>
        </is>
      </c>
      <c r="D49" s="7" t="inlineStr">
        <is>
          <t>https://drillingcontractor.org/us-department-of-energy-launches-initiative-aimed-at-reducing-geothermal-costs-63700</t>
        </is>
      </c>
      <c r="E49" s="7" t="inlineStr">
        <is>
          <t>2026-09-28</t>
        </is>
      </c>
      <c r="F49" s="7" t="inlineStr">
        <is>
          <t>September 28, 2022</t>
        </is>
      </c>
      <c r="G49" s="7" t="inlineStr">
        <is>
          <t>searched, not cited in a cell</t>
        </is>
      </c>
    </row>
    <row r="50">
      <c r="B50" s="6" t="inlineStr">
        <is>
          <t>S45</t>
        </is>
      </c>
      <c r="C50" s="6" t="inlineStr">
        <is>
          <t>DOE Announces Earthshot Initiative To Lower Cost Of Geothermal Energy - Potomac Officers Club</t>
        </is>
      </c>
      <c r="D50" s="6" t="inlineStr">
        <is>
          <t>https://www.potomacofficersclub.com/news/doe-announces-earthshot-initiative-to-lower-cost-of-geothermal-energy/</t>
        </is>
      </c>
      <c r="E50" s="6" t="inlineStr">
        <is>
          <t>2026-09-28</t>
        </is>
      </c>
      <c r="F50" s="6" t="inlineStr">
        <is>
          <t>September 9, 2022</t>
        </is>
      </c>
      <c r="G50" s="6" t="inlineStr">
        <is>
          <t>searched, not cited in a cell</t>
        </is>
      </c>
    </row>
    <row r="51">
      <c r="B51" s="7" t="inlineStr">
        <is>
          <t>S46</t>
        </is>
      </c>
      <c r="C51" s="7" t="inlineStr">
        <is>
          <t>DOE’s Latest Energy Earthshot Will Tackle Technical, Economic Challenges for Enhanced Geothermal Systems | Utah FORGE</t>
        </is>
      </c>
      <c r="D51" s="7" t="inlineStr">
        <is>
          <t>https://utahforge.com/utah_forge_news/does-latest-energy-earthshot-will-tackle-technical-economic-challenges-for-enhanced-geothermal-systems/</t>
        </is>
      </c>
      <c r="E51" s="7" t="inlineStr">
        <is>
          <t>2026-09-28</t>
        </is>
      </c>
      <c r="F51" s="7" t="inlineStr"/>
      <c r="G51" s="7" t="inlineStr">
        <is>
          <t>searched, not cited in a cell</t>
        </is>
      </c>
    </row>
    <row r="52">
      <c r="B52" s="6" t="inlineStr">
        <is>
          <t>S47</t>
        </is>
      </c>
      <c r="C52" s="6" t="inlineStr">
        <is>
          <t>DOE seeking to advance Enhanced Geothermal Shot initiative - Daily Energy Insider</t>
        </is>
      </c>
      <c r="D52" s="6" t="inlineStr">
        <is>
          <t>https://dailyenergyinsider.com/news/36649-doe-seeking-to-advance-enhanced-geothermal-shot-initiative/?amp=</t>
        </is>
      </c>
      <c r="E52" s="6" t="inlineStr">
        <is>
          <t>2026-09-28</t>
        </is>
      </c>
      <c r="F52" s="6" t="inlineStr">
        <is>
          <t>September 13, 2022</t>
        </is>
      </c>
      <c r="G52" s="6" t="inlineStr">
        <is>
          <t>searched, not cited in a cell</t>
        </is>
      </c>
    </row>
    <row r="53">
      <c r="B53" s="7" t="inlineStr">
        <is>
          <t>S48</t>
        </is>
      </c>
      <c r="C53" s="7" t="inlineStr">
        <is>
          <t>Energy Earthshots Initiative – Yardsale Energy</t>
        </is>
      </c>
      <c r="D53" s="7" t="inlineStr">
        <is>
          <t>https://yardsale.energy/energy-earthshots-initiative/</t>
        </is>
      </c>
      <c r="E53" s="7" t="inlineStr">
        <is>
          <t>2026-09-28</t>
        </is>
      </c>
      <c r="F53" s="7" t="inlineStr"/>
      <c r="G53" s="7" t="inlineStr">
        <is>
          <t>searched, not cited in a cell</t>
        </is>
      </c>
    </row>
    <row r="54">
      <c r="B54" s="6" t="inlineStr">
        <is>
          <t>S49</t>
        </is>
      </c>
      <c r="C54" s="6" t="inlineStr">
        <is>
          <t>Enhanced Geothermal Shot Analysis for the ...</t>
        </is>
      </c>
      <c r="D54" s="6" t="inlineStr">
        <is>
          <t>https://docs.nlr.gov/docs/fy23osti/84822.pdf</t>
        </is>
      </c>
      <c r="E54" s="6" t="inlineStr">
        <is>
          <t>2026-09-28</t>
        </is>
      </c>
      <c r="F54" s="6" t="inlineStr"/>
      <c r="G54" s="6" t="inlineStr">
        <is>
          <t>searched, not cited in a cell</t>
        </is>
      </c>
    </row>
    <row r="55">
      <c r="B55" s="7" t="inlineStr">
        <is>
          <t>S50</t>
        </is>
      </c>
      <c r="C55" s="7" t="inlineStr">
        <is>
          <t>Enhanced Geothermal Shot Analysis for the Geothermal Technologies Office - National Laboratory of the Rockies</t>
        </is>
      </c>
      <c r="D55" s="7" t="inlineStr">
        <is>
          <t>https://research-hub.nlr.gov/en/publications/enhanced-geothermal-shot-analysis-for-the-geothermal-technologies/</t>
        </is>
      </c>
      <c r="E55" s="7" t="inlineStr">
        <is>
          <t>2026-09-28</t>
        </is>
      </c>
      <c r="F55" s="7" t="inlineStr"/>
      <c r="G55" s="7" t="inlineStr">
        <is>
          <t>searched, not cited in a cell</t>
        </is>
      </c>
    </row>
    <row r="56">
      <c r="B56" s="6" t="inlineStr">
        <is>
          <t>S51</t>
        </is>
      </c>
      <c r="C56" s="6" t="inlineStr">
        <is>
          <t>Enhanced Geothermal Shot Analysis for the Geothermal Technologies Office: Preprint - National Laboratory of the Rockies</t>
        </is>
      </c>
      <c r="D56" s="6" t="inlineStr">
        <is>
          <t>https://research-hub.nlr.gov/en/publications/enhanced-geothermal-shot-analysis-for-the-geothermal-technologies-2/</t>
        </is>
      </c>
      <c r="E56" s="6" t="inlineStr">
        <is>
          <t>2026-09-28</t>
        </is>
      </c>
      <c r="F56" s="6" t="inlineStr"/>
      <c r="G56" s="6" t="inlineStr">
        <is>
          <t>searched, not cited in a cell</t>
        </is>
      </c>
    </row>
    <row r="57">
      <c r="B57" s="7" t="inlineStr">
        <is>
          <t>S52</t>
        </is>
      </c>
      <c r="C57" s="7" t="inlineStr">
        <is>
          <t>DOE Launches New Energy Earthshot to Slash the Cost of Geothermal Power</t>
        </is>
      </c>
      <c r="D57" s="7" t="inlineStr">
        <is>
          <t>https://www.energy.gov/articles/doe-launches-new-energy-earthshot-slash-cost-geothermal-power</t>
        </is>
      </c>
      <c r="E57" s="7" t="inlineStr">
        <is>
          <t>2026-09-28</t>
        </is>
      </c>
      <c r="F57" s="7" t="inlineStr"/>
      <c r="G57" s="7" t="inlineStr">
        <is>
          <t>searched, not cited in a cell</t>
        </is>
      </c>
    </row>
    <row r="58">
      <c r="B58" s="6" t="inlineStr">
        <is>
          <t>S53</t>
        </is>
      </c>
      <c r="C58" s="6" t="inlineStr">
        <is>
          <t>Fervo Energy and Google Sign 396 MW PPA - Fervo Energy</t>
        </is>
      </c>
      <c r="D58" s="6" t="inlineStr">
        <is>
          <t>https://fervoenergy.com/fervo-energy-and-google-sign-396-mw-ppa/</t>
        </is>
      </c>
      <c r="E58" s="6" t="inlineStr">
        <is>
          <t>2026-09-28</t>
        </is>
      </c>
      <c r="F58" s="6" t="inlineStr">
        <is>
          <t>1 month ago</t>
        </is>
      </c>
      <c r="G58" s="6" t="inlineStr">
        <is>
          <t>'Scope'!B14:C14; 'Scope'!B15; 'Trends'!B81:F81; 'Trends'!B82:F82; 'Trends'!B83:F83; 'Trends'!B84</t>
        </is>
      </c>
    </row>
    <row r="59">
      <c r="B59" s="7" t="inlineStr">
        <is>
          <t>S54</t>
        </is>
      </c>
      <c r="C59" s="7" t="inlineStr">
        <is>
          <t>Fervo Energy and Google sign world's largest enhanced geothermal power deal at 396 megawatts</t>
        </is>
      </c>
      <c r="D59" s="7" t="inlineStr">
        <is>
          <t>https://gcn.com/enhanced-geothermal-fervo-energy-google-sign/21692</t>
        </is>
      </c>
      <c r="E59" s="7" t="inlineStr">
        <is>
          <t>2026-09-28</t>
        </is>
      </c>
      <c r="F59" s="7" t="inlineStr">
        <is>
          <t>2 weeks ago</t>
        </is>
      </c>
      <c r="G59" s="7" t="inlineStr">
        <is>
          <t>'Scope'!B14:C14; 'Scope'!B15</t>
        </is>
      </c>
    </row>
    <row r="60">
      <c r="B60" s="6" t="inlineStr">
        <is>
          <t>S55</t>
        </is>
      </c>
      <c r="C60" s="6" t="inlineStr">
        <is>
          <t>Fervo, Google Sign 400-MW PPA for Future Utah Data Center | Supply &amp; Demand | newsdata.com</t>
        </is>
      </c>
      <c r="D60" s="6" t="inlineStr">
        <is>
          <t>https://www.newsdata.com/clearing_up/supply_and_demand/fervo-google-sign-400-mw-ppa-for-future-utah-data-center/article_ae6aad9f-dce8-47f3-8fca-3b2e373a0976.html</t>
        </is>
      </c>
      <c r="E60" s="6" t="inlineStr">
        <is>
          <t>2026-09-28</t>
        </is>
      </c>
      <c r="F60" s="6" t="inlineStr">
        <is>
          <t>3 weeks ago</t>
        </is>
      </c>
      <c r="G60" s="6" t="inlineStr">
        <is>
          <t>searched, not cited in a cell</t>
        </is>
      </c>
    </row>
    <row r="61">
      <c r="B61" s="7" t="inlineStr">
        <is>
          <t>S56</t>
        </is>
      </c>
      <c r="C61" s="7" t="inlineStr">
        <is>
          <t>Google's Historic 396 MW Clean Energy Deal Just Changed the Game for 1 AI Power Play | The Motley Fool</t>
        </is>
      </c>
      <c r="D61" s="7" t="inlineStr">
        <is>
          <t>https://www.fool.com/investing/2026/09/12/googles-historic-396-mw-clean-energy-deal-just-cha/</t>
        </is>
      </c>
      <c r="E61" s="7" t="inlineStr">
        <is>
          <t>2026-09-28</t>
        </is>
      </c>
      <c r="F61" s="7" t="inlineStr">
        <is>
          <t>2 weeks ago</t>
        </is>
      </c>
      <c r="G61" s="7" t="inlineStr">
        <is>
          <t>searched, not cited in a cell</t>
        </is>
      </c>
    </row>
    <row r="62">
      <c r="B62" s="6" t="inlineStr">
        <is>
          <t>S57</t>
        </is>
      </c>
      <c r="C62" s="6" t="inlineStr">
        <is>
          <t>Fervo Energy and Google ink largest-ever geothermal PPA to power data centers</t>
        </is>
      </c>
      <c r="D62" s="6" t="inlineStr">
        <is>
          <t>https://www.power-eng.com/renewables/geothermal/fervo-energy-and-google-ink-largest-ever-geothermal-ppa-to-power-data-centers/</t>
        </is>
      </c>
      <c r="E62" s="6" t="inlineStr">
        <is>
          <t>2026-09-28</t>
        </is>
      </c>
      <c r="F62" s="6" t="inlineStr">
        <is>
          <t>1 month ago</t>
        </is>
      </c>
      <c r="G62" s="6" t="inlineStr">
        <is>
          <t>searched, not cited in a cell</t>
        </is>
      </c>
    </row>
    <row r="63">
      <c r="B63" s="7" t="inlineStr">
        <is>
          <t>S58</t>
        </is>
      </c>
      <c r="C63" s="7" t="inlineStr">
        <is>
          <t>Enhanced geothermal notches another win as Google buys 400 MW from Fervo | TechCrunch</t>
        </is>
      </c>
      <c r="D63" s="7" t="inlineStr">
        <is>
          <t>https://techcrunch.com/2026/09/02/enhanced-geothermal-notches-another-win-as-google-buys-400-mw-from-fervo/</t>
        </is>
      </c>
      <c r="E63" s="7" t="inlineStr">
        <is>
          <t>2026-09-28</t>
        </is>
      </c>
      <c r="F63" s="7" t="inlineStr">
        <is>
          <t>1 month ago</t>
        </is>
      </c>
      <c r="G63" s="7" t="inlineStr">
        <is>
          <t>searched, not cited in a cell</t>
        </is>
      </c>
    </row>
    <row r="64">
      <c r="B64" s="6" t="inlineStr">
        <is>
          <t>S59</t>
        </is>
      </c>
      <c r="C64" s="6" t="inlineStr">
        <is>
          <t>Fervo signs 396 MW enhanced geothermal PPA with Google</t>
        </is>
      </c>
      <c r="D64" s="6" t="inlineStr">
        <is>
          <t>https://www.winssolutions.org/fervo-google-396-mw-geothermal-ppa/</t>
        </is>
      </c>
      <c r="E64" s="6" t="inlineStr">
        <is>
          <t>2026-09-28</t>
        </is>
      </c>
      <c r="F64" s="6" t="inlineStr">
        <is>
          <t>1 month ago</t>
        </is>
      </c>
      <c r="G64" s="6" t="inlineStr">
        <is>
          <t>searched, not cited in a cell</t>
        </is>
      </c>
    </row>
    <row r="65">
      <c r="B65" s="7" t="inlineStr">
        <is>
          <t>S60</t>
        </is>
      </c>
      <c r="C65" s="7" t="inlineStr">
        <is>
          <t>FinancialContent - Fervo Energy and Google Sign 396 MW PPA</t>
        </is>
      </c>
      <c r="D65" s="7" t="inlineStr">
        <is>
          <t>https://markets.financialcontent.com/stocks/article/gnwcq-2026-9-1-fervo-energy-and-google-sign-396-mw-ppa</t>
        </is>
      </c>
      <c r="E65" s="7" t="inlineStr">
        <is>
          <t>2026-09-28</t>
        </is>
      </c>
      <c r="F65" s="7" t="inlineStr">
        <is>
          <t>1 month ago</t>
        </is>
      </c>
      <c r="G65" s="7" t="inlineStr">
        <is>
          <t>searched, not cited in a cell</t>
        </is>
      </c>
    </row>
    <row r="66">
      <c r="B66" s="6" t="inlineStr">
        <is>
          <t>S61</t>
        </is>
      </c>
      <c r="C66" s="6" t="inlineStr">
        <is>
          <t>Fervo's 396 MW Google Geothermal PPA | Green Stocks Research</t>
        </is>
      </c>
      <c r="D66" s="6" t="inlineStr">
        <is>
          <t>https://greenstocksresearch.com/fervo-google-396-mw-geothermal-ppa/</t>
        </is>
      </c>
      <c r="E66" s="6" t="inlineStr">
        <is>
          <t>2026-09-28</t>
        </is>
      </c>
      <c r="F66" s="6" t="inlineStr">
        <is>
          <t>1 month ago</t>
        </is>
      </c>
      <c r="G66" s="6" t="inlineStr">
        <is>
          <t>searched, not cited in a cell</t>
        </is>
      </c>
    </row>
    <row r="67">
      <c r="B67" s="7" t="inlineStr">
        <is>
          <t>S62</t>
        </is>
      </c>
      <c r="C67" s="7" t="inlineStr">
        <is>
          <t>Geothermal: Drilling accounts for 75% of project cost and 90% of capital cost | AJOT.COM</t>
        </is>
      </c>
      <c r="D67" s="7" t="inlineStr">
        <is>
          <t>https://www.ajot.com/news/geothermal-drilling-accounts-for-75-of-project-cost-and-90-of-capital-cost</t>
        </is>
      </c>
      <c r="E67" s="7" t="inlineStr">
        <is>
          <t>2026-09-28</t>
        </is>
      </c>
      <c r="F67" s="7" t="inlineStr">
        <is>
          <t>July 11, 2024</t>
        </is>
      </c>
      <c r="G67" s="7" t="inlineStr">
        <is>
          <t>'Scope'!B12:C12; 'Scope'!B15; 'Risks'!B22</t>
        </is>
      </c>
    </row>
    <row r="68">
      <c r="B68" s="6" t="inlineStr">
        <is>
          <t>S63</t>
        </is>
      </c>
      <c r="C68" s="6" t="inlineStr">
        <is>
          <t>Geothermal Drilling Research | Department of Energy</t>
        </is>
      </c>
      <c r="D68" s="6" t="inlineStr">
        <is>
          <t>https://www.energy.gov/hgeo/geothermal/geothermal-drilling-research</t>
        </is>
      </c>
      <c r="E68" s="6" t="inlineStr">
        <is>
          <t>2026-09-28</t>
        </is>
      </c>
      <c r="F68" s="6" t="inlineStr">
        <is>
          <t>4 weeks ago</t>
        </is>
      </c>
      <c r="G68" s="6" t="inlineStr">
        <is>
          <t>searched, not cited in a cell</t>
        </is>
      </c>
    </row>
    <row r="69">
      <c r="B69" s="7" t="inlineStr">
        <is>
          <t>S64</t>
        </is>
      </c>
      <c r="C69" s="7" t="inlineStr">
        <is>
          <t>Exploration and Characterization | Department of Energy</t>
        </is>
      </c>
      <c r="D69" s="7" t="inlineStr">
        <is>
          <t>https://www.energy.gov/hgeo/geothermal/exploration-and-characterization</t>
        </is>
      </c>
      <c r="E69" s="7" t="inlineStr">
        <is>
          <t>2026-09-28</t>
        </is>
      </c>
      <c r="F69" s="7" t="inlineStr">
        <is>
          <t>August 4, 2026</t>
        </is>
      </c>
      <c r="G69" s="7" t="inlineStr">
        <is>
          <t>'Scope'!B6</t>
        </is>
      </c>
    </row>
    <row r="70">
      <c r="B70" s="6" t="inlineStr">
        <is>
          <t>S65</t>
        </is>
      </c>
      <c r="C70" s="6" t="inlineStr">
        <is>
          <t>Uncertainty analysis of geothermal well drilling and completion costs - ScienceDirect</t>
        </is>
      </c>
      <c r="D70" s="6" t="inlineStr">
        <is>
          <t>https://www.sciencedirect.com/science/article/abs/pii/S0375650516300736</t>
        </is>
      </c>
      <c r="E70" s="6" t="inlineStr">
        <is>
          <t>2026-09-28</t>
        </is>
      </c>
      <c r="F70" s="6" t="inlineStr">
        <is>
          <t>July 15, 2016</t>
        </is>
      </c>
      <c r="G70" s="6" t="inlineStr">
        <is>
          <t>searched, not cited in a cell</t>
        </is>
      </c>
    </row>
    <row r="71">
      <c r="B71" s="7" t="inlineStr">
        <is>
          <t>S66</t>
        </is>
      </c>
      <c r="C71" s="7" t="inlineStr">
        <is>
          <t>Reducing drilling cost of geothermal wells by optimizing drilling operations: Cost effective study - ScienceDirect</t>
        </is>
      </c>
      <c r="D71" s="7" t="inlineStr">
        <is>
          <t>https://www.sciencedirect.com/science/article/pii/S2666519025000627</t>
        </is>
      </c>
      <c r="E71" s="7" t="inlineStr">
        <is>
          <t>2026-09-28</t>
        </is>
      </c>
      <c r="F71" s="7" t="inlineStr">
        <is>
          <t>April 17, 2025</t>
        </is>
      </c>
      <c r="G71" s="7" t="inlineStr">
        <is>
          <t>searched, not cited in a cell</t>
        </is>
      </c>
    </row>
    <row r="72">
      <c r="B72" s="6" t="inlineStr">
        <is>
          <t>S67</t>
        </is>
      </c>
      <c r="C72" s="6" t="inlineStr">
        <is>
          <t>Drilling Down into the Cost of Geothermal Energy | Renewable Energy Project Finance</t>
        </is>
      </c>
      <c r="D72" s="6" t="inlineStr">
        <is>
          <t>https://financere.nrel.gov/finance/content/drilling-down-cost-geothermal-energy</t>
        </is>
      </c>
      <c r="E72" s="6" t="inlineStr">
        <is>
          <t>2026-09-28</t>
        </is>
      </c>
      <c r="F72" s="6" t="inlineStr">
        <is>
          <t>May 2, 2011</t>
        </is>
      </c>
      <c r="G72" s="6" t="inlineStr">
        <is>
          <t>searched, not cited in a cell</t>
        </is>
      </c>
    </row>
    <row r="73">
      <c r="B73" s="7" t="inlineStr">
        <is>
          <t>S68</t>
        </is>
      </c>
      <c r="C73" s="7" t="inlineStr">
        <is>
          <t>analysis young exploration best practices</t>
        </is>
      </c>
      <c r="D73" s="7" t="inlineStr">
        <is>
          <t>https://www.energy.gov/sites/default/files/2014/02/f7/analysis_young_exploration_best_practices.pdf</t>
        </is>
      </c>
      <c r="E73" s="7" t="inlineStr">
        <is>
          <t>2026-09-28</t>
        </is>
      </c>
      <c r="F73" s="7" t="inlineStr"/>
      <c r="G73" s="7" t="inlineStr">
        <is>
          <t>searched, not cited in a cell</t>
        </is>
      </c>
    </row>
    <row r="74">
      <c r="B74" s="6" t="inlineStr">
        <is>
          <t>S69</t>
        </is>
      </c>
      <c r="C74" s="6" t="inlineStr">
        <is>
          <t>validation shervais snake river</t>
        </is>
      </c>
      <c r="D74" s="6" t="inlineStr">
        <is>
          <t>https://www.energy.gov/sites/default/files/2014/02/f7/validation_shervais_snake_river.pdf</t>
        </is>
      </c>
      <c r="E74" s="6" t="inlineStr">
        <is>
          <t>2026-09-28</t>
        </is>
      </c>
      <c r="F74" s="6" t="inlineStr"/>
      <c r="G74" s="6" t="inlineStr">
        <is>
          <t>searched, not cited in a cell</t>
        </is>
      </c>
    </row>
    <row r="75">
      <c r="B75" s="7" t="inlineStr">
        <is>
          <t>S70</t>
        </is>
      </c>
      <c r="C75" s="7" t="inlineStr">
        <is>
          <t>validation casteel crump geyser</t>
        </is>
      </c>
      <c r="D75" s="7" t="inlineStr">
        <is>
          <t>https://www.energy.gov/sites/default/files/2014/02/f7/validation_casteel_crump_geyser.pdf</t>
        </is>
      </c>
      <c r="E75" s="7" t="inlineStr">
        <is>
          <t>2026-09-28</t>
        </is>
      </c>
      <c r="F75" s="7" t="inlineStr"/>
      <c r="G75" s="7" t="inlineStr">
        <is>
          <t>searched, not cited in a cell</t>
        </is>
      </c>
    </row>
    <row r="76">
      <c r="B76" s="6" t="inlineStr">
        <is>
          <t>S71</t>
        </is>
      </c>
      <c r="C76" s="6" t="inlineStr">
        <is>
          <t>Sage Geosystems closes $97 million Series B funding round to support Pressure Geothermal deployment</t>
        </is>
      </c>
      <c r="D76" s="6" t="inlineStr">
        <is>
          <t>https://www.thinkgeoenergy.com/sage-geosystems-closes-97-million-series-b-funding-round-to-support-pressure-geothermal-deployment/</t>
        </is>
      </c>
      <c r="E76" s="6" t="inlineStr">
        <is>
          <t>2026-09-28</t>
        </is>
      </c>
      <c r="F76" s="6" t="inlineStr">
        <is>
          <t>January 21, 2026</t>
        </is>
      </c>
      <c r="G76" s="6" t="inlineStr">
        <is>
          <t>'Landscape'!B10:J10; 'Landscape'!B14</t>
        </is>
      </c>
    </row>
    <row r="77">
      <c r="B77" s="7" t="inlineStr">
        <is>
          <t>S72</t>
        </is>
      </c>
      <c r="C77" s="7" t="inlineStr">
        <is>
          <t>Sage Geosystems: Over $97 Million Series B Closed To Launch First Commercial Pressure Geothermal Power Facility</t>
        </is>
      </c>
      <c r="D77" s="7" t="inlineStr">
        <is>
          <t>https://pulse2.com/sage-geosystems-over-97-million-series-b/</t>
        </is>
      </c>
      <c r="E77" s="7" t="inlineStr">
        <is>
          <t>2026-09-28</t>
        </is>
      </c>
      <c r="F77" s="7" t="inlineStr">
        <is>
          <t>January 22, 2026</t>
        </is>
      </c>
      <c r="G77" s="7" t="inlineStr">
        <is>
          <t>'Landscape'!B10:J10; 'Landscape'!B14</t>
        </is>
      </c>
    </row>
    <row r="78">
      <c r="B78" s="6" t="inlineStr">
        <is>
          <t>S73</t>
        </is>
      </c>
      <c r="C78" s="6" t="inlineStr">
        <is>
          <t>Sage Geosystems raises $97M Series B for next-gen power - InnovationMap</t>
        </is>
      </c>
      <c r="D78" s="6" t="inlineStr">
        <is>
          <t>https://houston.innovationmap.com/sage-geosystems-series-b-2675057096.html</t>
        </is>
      </c>
      <c r="E78" s="6" t="inlineStr">
        <is>
          <t>2026-09-28</t>
        </is>
      </c>
      <c r="F78" s="6" t="inlineStr">
        <is>
          <t>February 3, 2026</t>
        </is>
      </c>
      <c r="G78" s="6" t="inlineStr">
        <is>
          <t>'Landscape'!B10:J10; 'Landscape'!B14</t>
        </is>
      </c>
    </row>
    <row r="79">
      <c r="B79" s="7" t="inlineStr">
        <is>
          <t>S74</t>
        </is>
      </c>
      <c r="C79" s="7" t="inlineStr">
        <is>
          <t>SAGE Geosystems: Funding, Team &amp; Investors | Startup Intros</t>
        </is>
      </c>
      <c r="D79" s="7" t="inlineStr">
        <is>
          <t>https://startupintros.com/orgs/sage-geosystems</t>
        </is>
      </c>
      <c r="E79" s="7" t="inlineStr">
        <is>
          <t>2026-09-28</t>
        </is>
      </c>
      <c r="F79" s="7" t="inlineStr">
        <is>
          <t>July 13, 2026</t>
        </is>
      </c>
      <c r="G79" s="7" t="inlineStr">
        <is>
          <t>searched, not cited in a cell</t>
        </is>
      </c>
    </row>
    <row r="80">
      <c r="B80" s="6" t="inlineStr">
        <is>
          <t>S75</t>
        </is>
      </c>
      <c r="C80" s="6" t="inlineStr">
        <is>
          <t>Sage Geosystems raises $97M Series B - Energy Capital HTX</t>
        </is>
      </c>
      <c r="D80" s="6" t="inlineStr">
        <is>
          <t>https://energycapitalhtx.com/sage-geosystems-series-b</t>
        </is>
      </c>
      <c r="E80" s="6" t="inlineStr">
        <is>
          <t>2026-09-28</t>
        </is>
      </c>
      <c r="F80" s="6" t="inlineStr">
        <is>
          <t>January 22, 2026</t>
        </is>
      </c>
      <c r="G80" s="6" t="inlineStr">
        <is>
          <t>searched, not cited in a cell</t>
        </is>
      </c>
    </row>
    <row r="81">
      <c r="B81" s="7" t="inlineStr">
        <is>
          <t>S76</t>
        </is>
      </c>
      <c r="C81" s="7" t="inlineStr">
        <is>
          <t>Sage Geosystems and Nabors Industries team up to accelerate commercialization of geothermal energy - Nabors</t>
        </is>
      </c>
      <c r="D81" s="7" t="inlineStr">
        <is>
          <t>https://www.nabors.com/sage-geosystems-and-nabors-industries-team-accelerate-commercialization-geothermal-energy/</t>
        </is>
      </c>
      <c r="E81" s="7" t="inlineStr">
        <is>
          <t>2026-09-28</t>
        </is>
      </c>
      <c r="F81" s="7" t="inlineStr">
        <is>
          <t>November 24, 2021</t>
        </is>
      </c>
      <c r="G81" s="7" t="inlineStr">
        <is>
          <t>searched, not cited in a cell</t>
        </is>
      </c>
    </row>
    <row r="82">
      <c r="B82" s="6" t="inlineStr">
        <is>
          <t>S77</t>
        </is>
      </c>
      <c r="C82" s="6" t="inlineStr">
        <is>
          <t>Sage Geosystems - Energy Capital HTX</t>
        </is>
      </c>
      <c r="D82" s="6" t="inlineStr">
        <is>
          <t>https://energycapitalhtx.com/tag/sage-geosystems</t>
        </is>
      </c>
      <c r="E82" s="6" t="inlineStr">
        <is>
          <t>2026-09-28</t>
        </is>
      </c>
      <c r="F82" s="6" t="inlineStr"/>
      <c r="G82" s="6" t="inlineStr">
        <is>
          <t>searched, not cited in a cell</t>
        </is>
      </c>
    </row>
    <row r="83">
      <c r="B83" s="7" t="inlineStr">
        <is>
          <t>S78</t>
        </is>
      </c>
      <c r="C83" s="7" t="inlineStr">
        <is>
          <t>Sage Geosystems Raises Over $97 Million To Deploy World’s First Commercial Pressure Geothermal Power Generation Facility</t>
        </is>
      </c>
      <c r="D83" s="7" t="inlineStr">
        <is>
          <t>https://www.businesswire.com/news/home/20260121330914/en/Sage-Geosystems-Raises-Over-$97-Million-To-Deploy-Worlds-First-Commercial-Pressure-Geothermal-Power-Generation-Facility</t>
        </is>
      </c>
      <c r="E83" s="7" t="inlineStr">
        <is>
          <t>2026-09-28</t>
        </is>
      </c>
      <c r="F83" s="7" t="inlineStr">
        <is>
          <t>January 21, 2026</t>
        </is>
      </c>
      <c r="G83" s="7" t="inlineStr">
        <is>
          <t>'Landscape'!B10:J10; 'Landscape'!B14</t>
        </is>
      </c>
    </row>
    <row r="84">
      <c r="B84" s="6" t="inlineStr">
        <is>
          <t>S79</t>
        </is>
      </c>
      <c r="C84" s="6" t="inlineStr">
        <is>
          <t>Nabors Energy Transition Corp. II - Form S-1 - FY2023</t>
        </is>
      </c>
      <c r="D84" s="6" t="inlineStr">
        <is>
          <t>https://www.sec.gov/Archives/edgar/data/1975218/000110465923073377/tm2316123-3_drsa.htm</t>
        </is>
      </c>
      <c r="E84" s="6" t="inlineStr">
        <is>
          <t>2026-09-28</t>
        </is>
      </c>
      <c r="F84" s="6" t="inlineStr"/>
      <c r="G84" s="6" t="inlineStr">
        <is>
          <t>searched, not cited in a cell</t>
        </is>
      </c>
    </row>
    <row r="85">
      <c r="B85" s="7" t="inlineStr">
        <is>
          <t>S80</t>
        </is>
      </c>
      <c r="C85" s="7" t="inlineStr">
        <is>
          <t>Quaise Energy Raises $134M To Build Superhot Geothermal Power Plant</t>
        </is>
      </c>
      <c r="D85" s="7" t="inlineStr">
        <is>
          <t>https://jpt.spe.org/quaise-energy-raises-134m-to-build-superhot-geothermal-power-plant</t>
        </is>
      </c>
      <c r="E85" s="7" t="inlineStr">
        <is>
          <t>2026-09-28</t>
        </is>
      </c>
      <c r="F85" s="7" t="inlineStr">
        <is>
          <t>July 9, 2026</t>
        </is>
      </c>
      <c r="G85" s="7" t="inlineStr">
        <is>
          <t>searched, not cited in a cell</t>
        </is>
      </c>
    </row>
    <row r="86">
      <c r="B86" s="6" t="inlineStr">
        <is>
          <t>S81</t>
        </is>
      </c>
      <c r="C86" s="6" t="inlineStr">
        <is>
          <t>Quaise Energy Raises $134 Million in Initial Close of Series B to Build World’s First Superhot Geothermal Power Plant</t>
        </is>
      </c>
      <c r="D86" s="6" t="inlineStr">
        <is>
          <t>https://finance.yahoo.com/energy/articles/quaise-energy-raises-134-million-120100752.html</t>
        </is>
      </c>
      <c r="E86" s="6" t="inlineStr">
        <is>
          <t>2026-09-28</t>
        </is>
      </c>
      <c r="F86" s="6" t="inlineStr">
        <is>
          <t>July 7, 2026</t>
        </is>
      </c>
      <c r="G86" s="6" t="inlineStr">
        <is>
          <t>searched, not cited in a cell</t>
        </is>
      </c>
    </row>
    <row r="87">
      <c r="B87" s="7" t="inlineStr">
        <is>
          <t>S82</t>
        </is>
      </c>
      <c r="C87" s="7" t="inlineStr">
        <is>
          <t>Quaise Energy Raises $134 Million to Build First-Ever Superhot Geothermal Power Plant - ESG Today</t>
        </is>
      </c>
      <c r="D87" s="7" t="inlineStr">
        <is>
          <t>https://www.esgtoday.com/quaise-energy-raises-134-million-to-build-first-ever-superhot-geothermal-power-plant/</t>
        </is>
      </c>
      <c r="E87" s="7" t="inlineStr">
        <is>
          <t>2026-09-28</t>
        </is>
      </c>
      <c r="F87" s="7" t="inlineStr">
        <is>
          <t>July 8, 2026</t>
        </is>
      </c>
      <c r="G87" s="7" t="inlineStr">
        <is>
          <t>searched, not cited in a cell</t>
        </is>
      </c>
    </row>
    <row r="88">
      <c r="B88" s="6" t="inlineStr">
        <is>
          <t>S83</t>
        </is>
      </c>
      <c r="C88" s="6" t="inlineStr">
        <is>
          <t>Quaise Energy raises $134M to fuel superhot geothermal… | Canary Media</t>
        </is>
      </c>
      <c r="D88" s="6" t="inlineStr">
        <is>
          <t>https://www.canarymedia.com/articles/geothermal/quaise-energy-raises-134m</t>
        </is>
      </c>
      <c r="E88" s="6" t="inlineStr">
        <is>
          <t>2026-09-28</t>
        </is>
      </c>
      <c r="F88" s="6" t="inlineStr">
        <is>
          <t>July 8, 2026</t>
        </is>
      </c>
      <c r="G88" s="6" t="inlineStr">
        <is>
          <t>searched, not cited in a cell</t>
        </is>
      </c>
    </row>
    <row r="89">
      <c r="B89" s="7" t="inlineStr">
        <is>
          <t>S84</t>
        </is>
      </c>
      <c r="C89" s="7" t="inlineStr">
        <is>
          <t>MITEI spinout Quaise raises $180 million | MIT Energy Initiative</t>
        </is>
      </c>
      <c r="D89" s="7" t="inlineStr">
        <is>
          <t>https://energy.mit.edu/news/mitei-spinout-quaise-raises-180-million/</t>
        </is>
      </c>
      <c r="E89" s="7" t="inlineStr">
        <is>
          <t>2026-09-28</t>
        </is>
      </c>
      <c r="F89" s="7" t="inlineStr">
        <is>
          <t>4 weeks ago</t>
        </is>
      </c>
      <c r="G89" s="7" t="inlineStr">
        <is>
          <t>'Landscape'!B8:J8; 'Landscape'!B14</t>
        </is>
      </c>
    </row>
    <row r="90">
      <c r="B90" s="6" t="inlineStr">
        <is>
          <t>S85</t>
        </is>
      </c>
      <c r="C90" s="6" t="inlineStr">
        <is>
          <t>Quaise Energy Raises $134 Million in Initial Close of Series B to Build World’s First Superhot Geothermal Power Plant</t>
        </is>
      </c>
      <c r="D90" s="6" t="inlineStr">
        <is>
          <t>https://www.businesswire.com/news/home/20260707844187/en/Quaise-Energy-Raises-$134-Million-in-Initial-Close-of-Series-B-to-Build-Worlds-First-Superhot-Geothermal-Power-Plant</t>
        </is>
      </c>
      <c r="E90" s="6" t="inlineStr">
        <is>
          <t>2026-09-28</t>
        </is>
      </c>
      <c r="F90" s="6" t="inlineStr">
        <is>
          <t>July 7, 2026</t>
        </is>
      </c>
      <c r="G90" s="6" t="inlineStr">
        <is>
          <t>'Landscape'!B8:J8; 'Landscape'!B14</t>
        </is>
      </c>
    </row>
    <row r="91">
      <c r="B91" s="7" t="inlineStr">
        <is>
          <t>S86</t>
        </is>
      </c>
      <c r="C91" s="7" t="inlineStr">
        <is>
          <t>Quaise Energy Raises $134 Million in First Close of Series B to Build…</t>
        </is>
      </c>
      <c r="D91" s="7" t="inlineStr">
        <is>
          <t>https://www.quaise.com/news/quaise-energy-raises-134-million-in-first-close-of-series-b-to-build-worlds-first-superhot-geothermal-power-plant</t>
        </is>
      </c>
      <c r="E91" s="7" t="inlineStr">
        <is>
          <t>2026-09-28</t>
        </is>
      </c>
      <c r="F91" s="7" t="inlineStr">
        <is>
          <t>July 16, 2026</t>
        </is>
      </c>
      <c r="G91" s="7" t="inlineStr">
        <is>
          <t>'Landscape'!B8:J8; 'Landscape'!B14</t>
        </is>
      </c>
    </row>
    <row r="92">
      <c r="B92" s="6" t="inlineStr">
        <is>
          <t>S87</t>
        </is>
      </c>
      <c r="C92" s="6" t="inlineStr">
        <is>
          <t>Quaise Energy | Quaise Energy Raises $21 Million to Accelerate…</t>
        </is>
      </c>
      <c r="D92" s="6" t="inlineStr">
        <is>
          <t>https://www.quaise.com/news/quaise-energy-raises-21-million-to-accelerate-terawatt-scale-deep-geothermal-energy</t>
        </is>
      </c>
      <c r="E92" s="6" t="inlineStr">
        <is>
          <t>2026-09-28</t>
        </is>
      </c>
      <c r="F92" s="6" t="inlineStr">
        <is>
          <t>November 1, 2024</t>
        </is>
      </c>
      <c r="G92" s="6" t="inlineStr">
        <is>
          <t>searched, not cited in a cell</t>
        </is>
      </c>
    </row>
    <row r="93">
      <c r="B93" s="7" t="inlineStr">
        <is>
          <t>S88</t>
        </is>
      </c>
      <c r="C93" s="7" t="inlineStr">
        <is>
          <t>Quaise raises $134M for superhot geothermal energy</t>
        </is>
      </c>
      <c r="D93" s="7" t="inlineStr">
        <is>
          <t>https://www.winssolutions.org/quaise-superhot-geothermal-funding/</t>
        </is>
      </c>
      <c r="E93" s="7" t="inlineStr">
        <is>
          <t>2026-09-28</t>
        </is>
      </c>
      <c r="F93" s="7" t="inlineStr">
        <is>
          <t>July 20, 2026</t>
        </is>
      </c>
      <c r="G93" s="7" t="inlineStr">
        <is>
          <t>searched, not cited in a cell</t>
        </is>
      </c>
    </row>
    <row r="94">
      <c r="B94" s="6" t="inlineStr">
        <is>
          <t>S89</t>
        </is>
      </c>
      <c r="C94" s="6" t="inlineStr">
        <is>
          <t>Baker Hughes Unlocks Geothermal Opportunity in North America</t>
        </is>
      </c>
      <c r="D94" s="6" t="inlineStr">
        <is>
          <t>https://finance.yahoo.com/energy/articles/baker-hughes-unlocks-geothermal-opportunity-133000195.html</t>
        </is>
      </c>
      <c r="E94" s="6" t="inlineStr">
        <is>
          <t>2026-09-28</t>
        </is>
      </c>
      <c r="F94" s="6" t="inlineStr">
        <is>
          <t>June 25, 2026</t>
        </is>
      </c>
      <c r="G94" s="6" t="inlineStr">
        <is>
          <t>searched, not cited in a cell</t>
        </is>
      </c>
    </row>
    <row r="95">
      <c r="B95" s="7" t="inlineStr">
        <is>
          <t>S90</t>
        </is>
      </c>
      <c r="C95" s="7" t="inlineStr">
        <is>
          <t>Baker Hughes and Mantle Reach Power announce strategic agreement | Energy Global</t>
        </is>
      </c>
      <c r="D95" s="7" t="inlineStr">
        <is>
          <t>https://www.energyglobal.com/other-renewables/26062026/baker-hughes-and-mantle-reach-power-announce-strategic-agreement/amp/</t>
        </is>
      </c>
      <c r="E95" s="7" t="inlineStr">
        <is>
          <t>2026-09-28</t>
        </is>
      </c>
      <c r="F95" s="7" t="inlineStr">
        <is>
          <t>June 26, 2026</t>
        </is>
      </c>
      <c r="G95" s="7" t="inlineStr">
        <is>
          <t>searched, not cited in a cell</t>
        </is>
      </c>
    </row>
    <row r="96">
      <c r="B96" s="6" t="inlineStr">
        <is>
          <t>S91</t>
        </is>
      </c>
      <c r="C96" s="6" t="inlineStr">
        <is>
          <t>Baker Hughes partners with Mantle Reach to deploy geothermal power By Investing.com</t>
        </is>
      </c>
      <c r="D96" s="6" t="inlineStr">
        <is>
          <t>https://www.investing.com/news/company-news/baker-hughes-partners-with-mantle-reach-to-deploy-geothermal-power-93CH-4757845</t>
        </is>
      </c>
      <c r="E96" s="6" t="inlineStr">
        <is>
          <t>2026-09-28</t>
        </is>
      </c>
      <c r="F96" s="6" t="inlineStr">
        <is>
          <t>June 24, 2026</t>
        </is>
      </c>
      <c r="G96" s="6" t="inlineStr">
        <is>
          <t>searched, not cited in a cell</t>
        </is>
      </c>
    </row>
    <row r="97">
      <c r="B97" s="7" t="inlineStr">
        <is>
          <t>S92</t>
        </is>
      </c>
      <c r="C97" s="7" t="inlineStr">
        <is>
          <t>Baker Hughes and Mantle Reach Power, an EnCap Energy Transition Company, Announce Strategic Agreement to Accelerate Large-scale Geothermal Across Nort</t>
        </is>
      </c>
      <c r="D97" s="7" t="inlineStr">
        <is>
          <t>https://investors.bakerhughes.com/news/press-releases/news-details/2026/Baker-Hughes-and-Mantle-Reach-Power-an-EnCap-Energy-Transition-Company-Announce-Strategic-Agreement-to-Accelerate-Large-scale-Geothermal-Across-North-America/default.aspx</t>
        </is>
      </c>
      <c r="E97" s="7" t="inlineStr">
        <is>
          <t>2026-09-28</t>
        </is>
      </c>
      <c r="F97" s="7" t="inlineStr">
        <is>
          <t>June 24, 2026</t>
        </is>
      </c>
      <c r="G97" s="7" t="inlineStr">
        <is>
          <t>'Scope'!B13:C13; 'Scope'!B15; 'Trends'!B81:F81; 'Trends'!B82:F82; 'Trends'!B83:F83; 'Trends'!B84; 'Landscape'!B12:J12; 'Landscape'!B14; 'Incumbents'!B9:H9; 'Incumbents'!B11</t>
        </is>
      </c>
    </row>
    <row r="98">
      <c r="B98" s="6" t="inlineStr">
        <is>
          <t>S93</t>
        </is>
      </c>
      <c r="C98" s="6" t="inlineStr">
        <is>
          <t>Baker Hughes and Mantle Reach Power, an EnCap Energy Transition Company, Announce Strategic Agreement to Accelerate Large-scale Geothermal Across Nort</t>
        </is>
      </c>
      <c r="D98" s="6" t="inlineStr">
        <is>
          <t>https://www.nasdaq.com/press-release/baker-hughes-and-mantle-reach-power-encap-energy-transition-company-announce</t>
        </is>
      </c>
      <c r="E98" s="6" t="inlineStr">
        <is>
          <t>2026-09-28</t>
        </is>
      </c>
      <c r="F98" s="6" t="inlineStr">
        <is>
          <t>June 24, 2026</t>
        </is>
      </c>
      <c r="G98" s="6" t="inlineStr">
        <is>
          <t>searched, not cited in a cell</t>
        </is>
      </c>
    </row>
    <row r="99">
      <c r="B99" s="7" t="inlineStr">
        <is>
          <t>S94</t>
        </is>
      </c>
      <c r="C99" s="7" t="inlineStr">
        <is>
          <t>Baker Hughes Co - Form 8-K - FY2026</t>
        </is>
      </c>
      <c r="D99" s="7" t="inlineStr">
        <is>
          <t>https://www.sec.gov/Archives/edgar/data/0001701605/000170160526000021/earningsreleaseex991063020.htm</t>
        </is>
      </c>
      <c r="E99" s="7" t="inlineStr">
        <is>
          <t>2026-09-28</t>
        </is>
      </c>
      <c r="F99" s="7" t="inlineStr"/>
      <c r="G99" s="7" t="inlineStr">
        <is>
          <t>searched, not cited in a cell</t>
        </is>
      </c>
    </row>
    <row r="100">
      <c r="B100" s="6" t="inlineStr">
        <is>
          <t>S95</t>
        </is>
      </c>
      <c r="C100" s="6" t="inlineStr">
        <is>
          <t>Baker Hughes and Mantle Reach Power, an EnCap Energy Transition Company, Announce Strategic Agreement to Accelerate Large-scale Geothermal Across Nort</t>
        </is>
      </c>
      <c r="D100" s="6" t="inlineStr">
        <is>
          <t>https://www.globenewswire.com/news-release/2026/06/24/3316707/0/en/baker-hughes-and-mantle-reach-power-an-encap-energy-transition-company-announce-strategic-agreement-to-accelerate-large-scale-geothermal-across-north-america.html</t>
        </is>
      </c>
      <c r="E100" s="6" t="inlineStr">
        <is>
          <t>2026-09-28</t>
        </is>
      </c>
      <c r="F100" s="6" t="inlineStr">
        <is>
          <t>June 24, 2026</t>
        </is>
      </c>
      <c r="G100" s="6" t="inlineStr">
        <is>
          <t>searched, not cited in a cell</t>
        </is>
      </c>
    </row>
    <row r="101">
      <c r="B101" s="7" t="inlineStr">
        <is>
          <t>S96</t>
        </is>
      </c>
      <c r="C101" s="7" t="inlineStr">
        <is>
          <t>Baker Hughes, Mantle Reach Power will expand geothermal energy projects in North America - Daily Energy Insider</t>
        </is>
      </c>
      <c r="D101" s="7" t="inlineStr">
        <is>
          <t>https://dailyenergyinsider.com/news/52877-baker-hughes-mantle-reach-power-will-expand-geothermal-energy-projects-in-north-america/</t>
        </is>
      </c>
      <c r="E101" s="7" t="inlineStr">
        <is>
          <t>2026-09-28</t>
        </is>
      </c>
      <c r="F101" s="7" t="inlineStr">
        <is>
          <t>July 2, 2026</t>
        </is>
      </c>
      <c r="G101" s="7" t="inlineStr">
        <is>
          <t>searched, not cited in a cell</t>
        </is>
      </c>
    </row>
    <row r="102">
      <c r="B102" s="6" t="inlineStr">
        <is>
          <t>S97</t>
        </is>
      </c>
      <c r="C102" s="6" t="inlineStr">
        <is>
          <t>FinancialContent - Baker Hughes and Mantle Reach Power, an EnCap Energy Transition Company, Announce Strategic Agreement to Accelerate Large-scale Geo</t>
        </is>
      </c>
      <c r="D102" s="6" t="inlineStr">
        <is>
          <t>https://markets.financialcontent.com/stocks/article/gnwcq-2026-6-24-baker-hughes-and-mantle-reach-power-an-encap-energy-transition-company-announce-strategic-agreement-to-accelerate-large-scale-geothermal-across-north-america</t>
        </is>
      </c>
      <c r="E102" s="6" t="inlineStr">
        <is>
          <t>2026-09-28</t>
        </is>
      </c>
      <c r="F102" s="6" t="inlineStr">
        <is>
          <t>June 24, 2026</t>
        </is>
      </c>
      <c r="G102" s="6" t="inlineStr">
        <is>
          <t>searched, not cited in a cell</t>
        </is>
      </c>
    </row>
    <row r="103">
      <c r="B103" s="7" t="inlineStr">
        <is>
          <t>S98</t>
        </is>
      </c>
      <c r="C103" s="7" t="inlineStr">
        <is>
          <t>Intellectia</t>
        </is>
      </c>
      <c r="D103" s="7" t="inlineStr">
        <is>
          <t>https://intellectia.ai/news/stock/baker-hughes-partners-with-mantle-reach-power-for-geothermal-energy-expansion</t>
        </is>
      </c>
      <c r="E103" s="7" t="inlineStr">
        <is>
          <t>2026-09-28</t>
        </is>
      </c>
      <c r="F103" s="7" t="inlineStr"/>
      <c r="G103" s="7" t="inlineStr">
        <is>
          <t>searched, not cited in a cell</t>
        </is>
      </c>
    </row>
    <row r="104">
      <c r="B104" s="6" t="inlineStr">
        <is>
          <t>S99</t>
        </is>
      </c>
      <c r="C104" s="6" t="inlineStr">
        <is>
          <t>Fervo Energy’s enhanced geothermal project aims to power data center boom</t>
        </is>
      </c>
      <c r="D104" s="6" t="inlineStr">
        <is>
          <t>https://www.cnbc.com/2026/09/05/fervo-energys-enhanced-geothermal-project-aims-to-power-data-center-boom.html</t>
        </is>
      </c>
      <c r="E104" s="6" t="inlineStr">
        <is>
          <t>2026-09-28</t>
        </is>
      </c>
      <c r="F104" s="6" t="inlineStr">
        <is>
          <t>3 weeks ago</t>
        </is>
      </c>
      <c r="G104" s="6" t="inlineStr">
        <is>
          <t>'Trends'!B71:C71; 'Trends'!B72:C72; 'Trends'!B73:C73; 'Trends'!B74:C74; 'Trends'!B75:C75; 'Trends'!B76; 'Risks'!B22; 'Risks'!B27</t>
        </is>
      </c>
    </row>
    <row r="105">
      <c r="B105" s="7" t="inlineStr">
        <is>
          <t>S100</t>
        </is>
      </c>
      <c r="C105" s="7" t="inlineStr">
        <is>
          <t>Fervo and Google sign world’s largest deal for next-gen geothermal…</t>
        </is>
      </c>
      <c r="D105" s="7" t="inlineStr">
        <is>
          <t>https://www.canarymedia.com/articles/geothermal/fervo-google-deal-next-gen-geothermal</t>
        </is>
      </c>
      <c r="E105" s="7" t="inlineStr">
        <is>
          <t>2026-09-28</t>
        </is>
      </c>
      <c r="F105" s="7" t="inlineStr">
        <is>
          <t>1 month ago</t>
        </is>
      </c>
      <c r="G105" s="7" t="inlineStr">
        <is>
          <t>'Trends'!B81:F81; 'Trends'!B82:F82; 'Trends'!B83:F83; 'Trends'!B84; 'Risks'!B27</t>
        </is>
      </c>
    </row>
    <row r="106">
      <c r="B106" s="6" t="inlineStr">
        <is>
          <t>S101</t>
        </is>
      </c>
      <c r="C106" s="6" t="inlineStr">
        <is>
          <t>In global first, a next-gen geothermal plant goes live at utility…</t>
        </is>
      </c>
      <c r="D106" s="6" t="inlineStr">
        <is>
          <t>https://www.canarymedia.com/articles/geothermal/global-first-next-gen-geothermal-fervo</t>
        </is>
      </c>
      <c r="E106" s="6" t="inlineStr">
        <is>
          <t>2026-09-28</t>
        </is>
      </c>
      <c r="F106" s="6" t="inlineStr">
        <is>
          <t>1 hour ago</t>
        </is>
      </c>
      <c r="G106" s="6" t="inlineStr">
        <is>
          <t>searched, not cited in a cell</t>
        </is>
      </c>
    </row>
    <row r="107">
      <c r="B107" s="7" t="inlineStr">
        <is>
          <t>S102</t>
        </is>
      </c>
      <c r="C107" s="7" t="inlineStr">
        <is>
          <t>Fervo Energy Learning Curve Continues on 3rd Generation Well Design, Boosting Drilling Rates by 143% Since Its First Cape Station Well - Wed, 07/08/20</t>
        </is>
      </c>
      <c r="D107" s="7" t="inlineStr">
        <is>
          <t>https://ir.fervoenergy.com/news-releases/news-release-details/fervo-energy-learning-curve-continues-3rd-generation-well-design</t>
        </is>
      </c>
      <c r="E107" s="7" t="inlineStr">
        <is>
          <t>2026-09-28</t>
        </is>
      </c>
      <c r="F107" s="7" t="inlineStr"/>
      <c r="G107" s="7" t="inlineStr">
        <is>
          <t>searched, not cited in a cell</t>
        </is>
      </c>
    </row>
    <row r="108">
      <c r="B108" s="6" t="inlineStr">
        <is>
          <t>S103</t>
        </is>
      </c>
      <c r="C108" s="6" t="inlineStr">
        <is>
          <t>Fervo Energy’s IPO is a milestone for next-gen geothermal</t>
        </is>
      </c>
      <c r="D108" s="6" t="inlineStr">
        <is>
          <t>https://www.canarymedia.com/articles/geothermal/fervo-energy-ipo-milestone</t>
        </is>
      </c>
      <c r="E108" s="6" t="inlineStr">
        <is>
          <t>2026-09-28</t>
        </is>
      </c>
      <c r="F108" s="6" t="inlineStr">
        <is>
          <t>May 13, 2026</t>
        </is>
      </c>
      <c r="G108" s="6" t="inlineStr">
        <is>
          <t>searched, not cited in a cell</t>
        </is>
      </c>
    </row>
    <row r="109">
      <c r="B109" s="7" t="inlineStr">
        <is>
          <t>S104</t>
        </is>
      </c>
      <c r="C109" s="7" t="inlineStr">
        <is>
          <t>Fervo signs up to 3 GW Google geothermal framework: WSJ - Blockspace</t>
        </is>
      </c>
      <c r="D109" s="7" t="inlineStr">
        <is>
          <t>https://blockspace.media/insight/fervo-google-geothermal-framework-3-gw/</t>
        </is>
      </c>
      <c r="E109" s="7" t="inlineStr">
        <is>
          <t>2026-09-28</t>
        </is>
      </c>
      <c r="F109" s="7" t="inlineStr">
        <is>
          <t>1 month ago</t>
        </is>
      </c>
      <c r="G109" s="7" t="inlineStr">
        <is>
          <t>searched, not cited in a cell</t>
        </is>
      </c>
    </row>
    <row r="110">
      <c r="B110" s="6" t="inlineStr">
        <is>
          <t>S105</t>
        </is>
      </c>
      <c r="C110" s="6" t="inlineStr">
        <is>
          <t>Fervo Energy activates Cape Station, the world's first utility-scale enhanced geothermal power plant</t>
        </is>
      </c>
      <c r="D110" s="6" t="inlineStr">
        <is>
          <t>https://cryptobriefing.com/fervo-energy-cape-station-geothermal-plant/</t>
        </is>
      </c>
      <c r="E110" s="6" t="inlineStr">
        <is>
          <t>2026-09-28</t>
        </is>
      </c>
      <c r="F110" s="6" t="inlineStr">
        <is>
          <t>4 days ago</t>
        </is>
      </c>
      <c r="G110" s="6" t="inlineStr">
        <is>
          <t>searched, not cited in a cell</t>
        </is>
      </c>
    </row>
    <row r="111">
      <c r="B111" s="7" t="inlineStr">
        <is>
          <t>S106</t>
        </is>
      </c>
      <c r="C111" s="7" t="inlineStr">
        <is>
          <t>Fervo Energy Achieves First Power at Cape Station, a Landmark Moment for the Future of Enhanced Geothermal Systems - Fervo Energy</t>
        </is>
      </c>
      <c r="D111" s="7" t="inlineStr">
        <is>
          <t>https://fervoenergy.com/fervo-energy-achieves-first-power-at-cape-station-a-landmark-moment-for-the-future-of-enhanced-geothermal-systems/</t>
        </is>
      </c>
      <c r="E111" s="7" t="inlineStr">
        <is>
          <t>2026-09-28</t>
        </is>
      </c>
      <c r="F111" s="7" t="inlineStr">
        <is>
          <t>4 days ago</t>
        </is>
      </c>
      <c r="G111" s="7" t="inlineStr">
        <is>
          <t>searched, not cited in a cell</t>
        </is>
      </c>
    </row>
    <row r="112">
      <c r="B112" s="6" t="inlineStr">
        <is>
          <t>S107</t>
        </is>
      </c>
      <c r="C112" s="6" t="inlineStr">
        <is>
          <t>Fervo Energy</t>
        </is>
      </c>
      <c r="D112" s="6" t="inlineStr">
        <is>
          <t>https://en.wikipedia.org/wiki/Fervo_Energy</t>
        </is>
      </c>
      <c r="E112" s="6" t="inlineStr">
        <is>
          <t>2026-09-28</t>
        </is>
      </c>
      <c r="F112" s="6" t="inlineStr"/>
      <c r="G112" s="6" t="inlineStr">
        <is>
          <t>searched, not cited in a cell</t>
        </is>
      </c>
    </row>
    <row r="113">
      <c r="B113" s="7" t="inlineStr">
        <is>
          <t>S108</t>
        </is>
      </c>
      <c r="C113" s="7" t="inlineStr">
        <is>
          <t>Great Basin Geothermal Could Fuel 10% of U.S. Power - Environment+Energy Leader</t>
        </is>
      </c>
      <c r="D113" s="7" t="inlineStr">
        <is>
          <t>https://environmentenergyleader.com/stories/great-basin-geothermal-could-fuel-10-of-us-power,78139</t>
        </is>
      </c>
      <c r="E113" s="7" t="inlineStr">
        <is>
          <t>2026-09-28</t>
        </is>
      </c>
      <c r="F113" s="7" t="inlineStr">
        <is>
          <t>May 27, 2025</t>
        </is>
      </c>
      <c r="G113" s="7" t="inlineStr">
        <is>
          <t>searched, not cited in a cell</t>
        </is>
      </c>
    </row>
    <row r="114">
      <c r="B114" s="6" t="inlineStr">
        <is>
          <t>S109</t>
        </is>
      </c>
      <c r="C114" s="6" t="inlineStr">
        <is>
          <t>USGS Discovers Major Energy Boost for United States - Newsweek</t>
        </is>
      </c>
      <c r="D114" s="6" t="inlineStr">
        <is>
          <t>https://www.newsweek.com/nevada-basin-energy-boost-geothermal-2076859</t>
        </is>
      </c>
      <c r="E114" s="6" t="inlineStr">
        <is>
          <t>2026-09-28</t>
        </is>
      </c>
      <c r="F114" s="6" t="inlineStr">
        <is>
          <t>May 26, 2025</t>
        </is>
      </c>
      <c r="G114" s="6" t="inlineStr">
        <is>
          <t>'Risks'!B32</t>
        </is>
      </c>
    </row>
    <row r="115">
      <c r="B115" s="7" t="inlineStr">
        <is>
          <t>S110</t>
        </is>
      </c>
      <c r="C115" s="7" t="inlineStr">
        <is>
          <t>Great Basin’s geothermal energy could produce 10% of the U.S. power supply, USGS says</t>
        </is>
      </c>
      <c r="D115" s="7" t="inlineStr">
        <is>
          <t>https://www.kunr.org/local-stories/2025-06-09/great-basin-geothermal-energy-produce-us-power-supply-usgs</t>
        </is>
      </c>
      <c r="E115" s="7" t="inlineStr">
        <is>
          <t>2026-09-28</t>
        </is>
      </c>
      <c r="F115" s="7" t="inlineStr">
        <is>
          <t>June 9, 2025</t>
        </is>
      </c>
      <c r="G115" s="7" t="inlineStr">
        <is>
          <t>searched, not cited in a cell</t>
        </is>
      </c>
    </row>
    <row r="116">
      <c r="B116" s="6" t="inlineStr">
        <is>
          <t>S111</t>
        </is>
      </c>
      <c r="C116" s="6" t="inlineStr">
        <is>
          <t>Great Basin’s geothermal energy could produce 10% of the U.S. power supply, USGS says | KUNC</t>
        </is>
      </c>
      <c r="D116" s="6" t="inlineStr">
        <is>
          <t>https://www.kunc.org/2025-06-09/great-basin-geothermal-energy-produce-us-power-supply-usgs</t>
        </is>
      </c>
      <c r="E116" s="6" t="inlineStr">
        <is>
          <t>2026-09-28</t>
        </is>
      </c>
      <c r="F116" s="6" t="inlineStr">
        <is>
          <t>June 17, 2025</t>
        </is>
      </c>
      <c r="G116" s="6" t="inlineStr">
        <is>
          <t>searched, not cited in a cell</t>
        </is>
      </c>
    </row>
    <row r="117">
      <c r="B117" s="7" t="inlineStr">
        <is>
          <t>S112</t>
        </is>
      </c>
      <c r="C117" s="7" t="inlineStr">
        <is>
          <t>US Agency Says Geothermal Energy in Nevada’s Great Basin Could Play Larger Role - World-Energy</t>
        </is>
      </c>
      <c r="D117" s="7" t="inlineStr">
        <is>
          <t>https://www.world-energy.org/article/52168.html</t>
        </is>
      </c>
      <c r="E117" s="7" t="inlineStr">
        <is>
          <t>2026-09-28</t>
        </is>
      </c>
      <c r="F117" s="7" t="inlineStr">
        <is>
          <t>May 23, 2025</t>
        </is>
      </c>
      <c r="G117" s="7" t="inlineStr">
        <is>
          <t>searched, not cited in a cell</t>
        </is>
      </c>
    </row>
    <row r="118">
      <c r="B118" s="6" t="inlineStr">
        <is>
          <t>S113</t>
        </is>
      </c>
      <c r="C118" s="6" t="inlineStr">
        <is>
          <t>its a hot topic geothermal energy and how usgs science could help harness it</t>
        </is>
      </c>
      <c r="D118" s="6" t="inlineStr">
        <is>
          <t>https://usgs.gov/news/featured-story/its-a-hot-topic-geothermal-energy-and-how-usgs-science-could-help-harness-it</t>
        </is>
      </c>
      <c r="E118" s="6" t="inlineStr">
        <is>
          <t>2026-09-28</t>
        </is>
      </c>
      <c r="F118" s="6" t="inlineStr"/>
      <c r="G118" s="6" t="inlineStr">
        <is>
          <t>searched, not cited in a cell</t>
        </is>
      </c>
    </row>
    <row r="119">
      <c r="B119" s="7" t="inlineStr">
        <is>
          <t>S114</t>
        </is>
      </c>
      <c r="C119" s="7" t="inlineStr">
        <is>
          <t>Fervo's IPO Establishes Enhanced Geothermal Baselines, Presents New Competition to Fission, and Adds a New LDES Class | Cleantech Group</t>
        </is>
      </c>
      <c r="D119" s="7" t="inlineStr">
        <is>
          <t>https://cleantech.com/fervo-energys-ipo-a-validation-of-geothermal-as-category/</t>
        </is>
      </c>
      <c r="E119" s="7" t="inlineStr">
        <is>
          <t>2026-09-28</t>
        </is>
      </c>
      <c r="F119" s="7" t="inlineStr">
        <is>
          <t>May 19, 2026</t>
        </is>
      </c>
      <c r="G119" s="7" t="inlineStr">
        <is>
          <t>searched, not cited in a cell</t>
        </is>
      </c>
    </row>
    <row r="120">
      <c r="B120" s="6" t="inlineStr">
        <is>
          <t>S115</t>
        </is>
      </c>
      <c r="C120" s="6" t="inlineStr">
        <is>
          <t>The IPO Buzz: Fervo Energy (FRVO) Prices IPO at $27 – $1 Above Range | IPOScoop</t>
        </is>
      </c>
      <c r="D120" s="6" t="inlineStr">
        <is>
          <t>https://www.iposcoop.com/the-ipo-buzz-fervo-energy-frvo-prices-ipo-at-27-1-above-range/</t>
        </is>
      </c>
      <c r="E120" s="6" t="inlineStr">
        <is>
          <t>2026-09-28</t>
        </is>
      </c>
      <c r="F120" s="6" t="inlineStr">
        <is>
          <t>May 12, 2026</t>
        </is>
      </c>
      <c r="G120" s="6" t="inlineStr">
        <is>
          <t>searched, not cited in a cell</t>
        </is>
      </c>
    </row>
    <row r="121">
      <c r="B121" s="7" t="inlineStr">
        <is>
          <t>S116</t>
        </is>
      </c>
      <c r="C121" s="7" t="inlineStr">
        <is>
          <t>Fervo Energy Co - Form 10-Q - FY2026</t>
        </is>
      </c>
      <c r="D121" s="7" t="inlineStr">
        <is>
          <t>https://www.sec.gov/Archives/edgar/data/0001853868/000162828026044799/frvo-20260331.htm</t>
        </is>
      </c>
      <c r="E121" s="7" t="inlineStr">
        <is>
          <t>2026-09-28</t>
        </is>
      </c>
      <c r="F121" s="7" t="inlineStr"/>
      <c r="G121" s="7" t="inlineStr">
        <is>
          <t>searched, not cited in a cell</t>
        </is>
      </c>
    </row>
    <row r="122">
      <c r="B122" s="6" t="inlineStr">
        <is>
          <t>S117</t>
        </is>
      </c>
      <c r="C122" s="6" t="inlineStr">
        <is>
          <t>Fervo Energy Co - Form 424B4 - FY2026</t>
        </is>
      </c>
      <c r="D122" s="6" t="inlineStr">
        <is>
          <t>https://www.sec.gov/Archives/edgar/data/0001853868/000162828026034849/fervoenergy-424b4.htm</t>
        </is>
      </c>
      <c r="E122" s="6" t="inlineStr">
        <is>
          <t>2026-09-28</t>
        </is>
      </c>
      <c r="F122" s="6" t="inlineStr"/>
      <c r="G122" s="6" t="inlineStr">
        <is>
          <t>searched, not cited in a cell</t>
        </is>
      </c>
    </row>
    <row r="123">
      <c r="B123" s="7" t="inlineStr">
        <is>
          <t>S118</t>
        </is>
      </c>
      <c r="C123" s="7" t="inlineStr">
        <is>
          <t>Fervo Energy Co - Form S-1/A - FY2026</t>
        </is>
      </c>
      <c r="D123" s="7" t="inlineStr">
        <is>
          <t>https://www.sec.gov/Archives/edgar/data/0001853868/000162828026033127/fervoenergy-sx1a3.htm</t>
        </is>
      </c>
      <c r="E123" s="7" t="inlineStr">
        <is>
          <t>2026-09-28</t>
        </is>
      </c>
      <c r="F123" s="7" t="inlineStr"/>
      <c r="G123" s="7" t="inlineStr">
        <is>
          <t>searched, not cited in a cell</t>
        </is>
      </c>
    </row>
    <row r="124">
      <c r="B124" s="6" t="inlineStr">
        <is>
          <t>S119</t>
        </is>
      </c>
      <c r="C124" s="6" t="inlineStr">
        <is>
          <t>Fervo Energy Co - Form DRS - FY2025</t>
        </is>
      </c>
      <c r="D124" s="6" t="inlineStr">
        <is>
          <t>https://www.sec.gov/Archives/edgar/data/1853868/000162827925000825/filename1.htm</t>
        </is>
      </c>
      <c r="E124" s="6" t="inlineStr">
        <is>
          <t>2026-09-28</t>
        </is>
      </c>
      <c r="F124" s="6" t="inlineStr"/>
      <c r="G124" s="6" t="inlineStr">
        <is>
          <t>searched, not cited in a cell</t>
        </is>
      </c>
    </row>
    <row r="125">
      <c r="B125" s="7" t="inlineStr">
        <is>
          <t>S120</t>
        </is>
      </c>
      <c r="C125" s="7" t="inlineStr">
        <is>
          <t xml:space="preserve">Quaise Energy Closes $180 Million Series B with $35 Million Investment from Nabors Industries and Strategic Framework to Build World's First Superhot </t>
        </is>
      </c>
      <c r="D125" s="7" t="inlineStr">
        <is>
          <t>https://finance.yahoo.com/energy/articles/quaise-energy-closes-180-million-110500307.html</t>
        </is>
      </c>
      <c r="E125" s="7" t="inlineStr">
        <is>
          <t>2026-09-28</t>
        </is>
      </c>
      <c r="F125" s="7" t="inlineStr">
        <is>
          <t>August 27, 2026</t>
        </is>
      </c>
      <c r="G125" s="7" t="inlineStr">
        <is>
          <t>searched, not cited in a cell</t>
        </is>
      </c>
    </row>
    <row r="126">
      <c r="B126" s="6" t="inlineStr">
        <is>
          <t>S121</t>
        </is>
      </c>
      <c r="C126" s="6" t="inlineStr">
        <is>
          <t xml:space="preserve">Quaise Energy Closes $180 Million Series B with $35 Million Investment from Nabors Industries and Strategic Framework to Build World's First Superhot </t>
        </is>
      </c>
      <c r="D126" s="6" t="inlineStr">
        <is>
          <t>https://www.nasdaq.com/press-release/quaise-energy-closes-180-million-series-b-35-million-investment-nabors-industries-and</t>
        </is>
      </c>
      <c r="E126" s="6" t="inlineStr">
        <is>
          <t>2026-09-28</t>
        </is>
      </c>
      <c r="F126" s="6" t="inlineStr"/>
      <c r="G126" s="6" t="inlineStr">
        <is>
          <t>searched, not cited in a cell</t>
        </is>
      </c>
    </row>
    <row r="127">
      <c r="B127" s="7" t="inlineStr">
        <is>
          <t>S122</t>
        </is>
      </c>
      <c r="C127" s="7" t="inlineStr">
        <is>
          <t>Quaise raises $180 million in final close of Series B to fund superhot geothermal project</t>
        </is>
      </c>
      <c r="D127" s="7" t="inlineStr">
        <is>
          <t>https://www.thinkgeoenergy.com/quaise-raises-180-million-in-final-close-of-series-b-to-fund-superhot-geothermal-project/</t>
        </is>
      </c>
      <c r="E127" s="7" t="inlineStr">
        <is>
          <t>2026-09-28</t>
        </is>
      </c>
      <c r="F127" s="7" t="inlineStr">
        <is>
          <t>August 28, 2026</t>
        </is>
      </c>
      <c r="G127" s="7" t="inlineStr">
        <is>
          <t>searched, not cited in a cell</t>
        </is>
      </c>
    </row>
    <row r="128">
      <c r="B128" s="6" t="inlineStr">
        <is>
          <t>S123</t>
        </is>
      </c>
      <c r="C128" s="6" t="inlineStr">
        <is>
          <t>Quaise Energy Closes $180 Million Series B with $35 ...</t>
        </is>
      </c>
      <c r="D128" s="6" t="inlineStr">
        <is>
          <t>https://www.businesswire.com/news/home/20260827266829/en/Quaise-Energy-Closes-$180-Million-Series-B-with-$35-Million-Investment-from-Nabors-Industries-and-Strategic-Framework-to-Build-Worlds-First-Superhot-Geothermal-Power-Plant</t>
        </is>
      </c>
      <c r="E128" s="6" t="inlineStr">
        <is>
          <t>2026-09-28</t>
        </is>
      </c>
      <c r="F128" s="6" t="inlineStr">
        <is>
          <t>August 27, 2026</t>
        </is>
      </c>
      <c r="G128" s="6" t="inlineStr">
        <is>
          <t>'Landscape'!B8:J8; 'Landscape'!B14</t>
        </is>
      </c>
    </row>
    <row r="129">
      <c r="B129" s="7" t="inlineStr">
        <is>
          <t>S124</t>
        </is>
      </c>
      <c r="C129" s="7" t="inlineStr">
        <is>
          <t>Quaise Energy | Quaise Energy Closes $180 Million Series B with $35…</t>
        </is>
      </c>
      <c r="D129" s="7" t="inlineStr">
        <is>
          <t>https://www.quaise.com/news/quaise-energy-closes-180-million-series-b-with-35-million-investment-by-nabors-industries</t>
        </is>
      </c>
      <c r="E129" s="7" t="inlineStr">
        <is>
          <t>2026-09-28</t>
        </is>
      </c>
      <c r="F129" s="7" t="inlineStr">
        <is>
          <t>August 27, 2026</t>
        </is>
      </c>
      <c r="G129" s="7" t="inlineStr">
        <is>
          <t>searched, not cited in a cell</t>
        </is>
      </c>
    </row>
    <row r="130">
      <c r="B130" s="6" t="inlineStr">
        <is>
          <t>S125</t>
        </is>
      </c>
      <c r="C130" s="6" t="inlineStr">
        <is>
          <t>Quaise Energy bumps Series B to $180M with Nabors investment - Energy Capital</t>
        </is>
      </c>
      <c r="D130" s="6" t="inlineStr">
        <is>
          <t>https://energycapitalhtx.com/quaise-nabors-series-b180m</t>
        </is>
      </c>
      <c r="E130" s="6" t="inlineStr">
        <is>
          <t>2026-09-28</t>
        </is>
      </c>
      <c r="F130" s="6" t="inlineStr">
        <is>
          <t>1 month ago</t>
        </is>
      </c>
      <c r="G130" s="6" t="inlineStr">
        <is>
          <t>searched, not cited in a cell</t>
        </is>
      </c>
    </row>
    <row r="131">
      <c r="B131" s="7" t="inlineStr">
        <is>
          <t>S126</t>
        </is>
      </c>
      <c r="C131" s="7" t="inlineStr">
        <is>
          <t>Quaise Energy Closes $180M Series B to Commercialize Ultradeep Geothermal Power - WOWTALE</t>
        </is>
      </c>
      <c r="D131" s="7" t="inlineStr">
        <is>
          <t>https://en.wowtale.net/2026/08/28/234915/</t>
        </is>
      </c>
      <c r="E131" s="7" t="inlineStr">
        <is>
          <t>2026-09-28</t>
        </is>
      </c>
      <c r="F131" s="7" t="inlineStr">
        <is>
          <t>August 28, 2026</t>
        </is>
      </c>
      <c r="G131" s="7" t="inlineStr">
        <is>
          <t>searched, not cited in a cell</t>
        </is>
      </c>
    </row>
    <row r="132">
      <c r="B132" s="6" t="inlineStr">
        <is>
          <t>S127</t>
        </is>
      </c>
      <c r="C132" s="6" t="inlineStr">
        <is>
          <t>Quaise Energy Raises $180 Million In Series B Funding - SuperbCrew</t>
        </is>
      </c>
      <c r="D132" s="6" t="inlineStr">
        <is>
          <t>https://superbcrew.com/quaise-energy-raises-180-million-in-series-b-funding/</t>
        </is>
      </c>
      <c r="E132" s="6" t="inlineStr">
        <is>
          <t>2026-09-28</t>
        </is>
      </c>
      <c r="F132" s="6" t="inlineStr">
        <is>
          <t>1 month ago</t>
        </is>
      </c>
      <c r="G132" s="6" t="inlineStr">
        <is>
          <t>searched, not cited in a cell</t>
        </is>
      </c>
    </row>
    <row r="133">
      <c r="B133" s="7" t="inlineStr">
        <is>
          <t>S128</t>
        </is>
      </c>
      <c r="C133" s="7" t="inlineStr">
        <is>
          <t>Quaise Energy Closes $180M Series B With Nabors | NBR Stock News</t>
        </is>
      </c>
      <c r="D133" s="7" t="inlineStr">
        <is>
          <t>https://www.stocktitan.net/news/NBR/quaise-energy-closes-180-million-series-b-with-35-million-investment-819h5otondrg.html</t>
        </is>
      </c>
      <c r="E133" s="7" t="inlineStr">
        <is>
          <t>2026-09-28</t>
        </is>
      </c>
      <c r="F133" s="7" t="inlineStr">
        <is>
          <t>August 27, 2026</t>
        </is>
      </c>
      <c r="G133" s="7" t="inlineStr">
        <is>
          <t>searched, not cited in a cell</t>
        </is>
      </c>
    </row>
    <row r="134">
      <c r="B134" s="6" t="inlineStr">
        <is>
          <t>S129</t>
        </is>
      </c>
      <c r="C134" s="6" t="inlineStr">
        <is>
          <t>XGS Energy Raises $20 Million for Next-Generation Geothermal | The Driller</t>
        </is>
      </c>
      <c r="D134" s="6" t="inlineStr">
        <is>
          <t>https://www.thedriller.com/articles/93001-xgs-energy-raises-20-million-for-next-generation-geothermal</t>
        </is>
      </c>
      <c r="E134" s="6" t="inlineStr">
        <is>
          <t>2026-09-28</t>
        </is>
      </c>
      <c r="F134" s="6" t="inlineStr">
        <is>
          <t>May 31, 2024</t>
        </is>
      </c>
      <c r="G134" s="6" t="inlineStr">
        <is>
          <t>searched, not cited in a cell</t>
        </is>
      </c>
    </row>
    <row r="135">
      <c r="B135" s="7" t="inlineStr">
        <is>
          <t>S130</t>
        </is>
      </c>
      <c r="C135" s="7" t="inlineStr">
        <is>
          <t>XGS Energy raises $20 million additional funding for next-generation geothermal</t>
        </is>
      </c>
      <c r="D135" s="7" t="inlineStr">
        <is>
          <t>https://www.thinkgeoenergy.com/xgs-energy-raises-20-million-additional-funding-for-next-generation-geothermal/</t>
        </is>
      </c>
      <c r="E135" s="7" t="inlineStr">
        <is>
          <t>2026-09-28</t>
        </is>
      </c>
      <c r="F135" s="7" t="inlineStr">
        <is>
          <t>May 22, 2024</t>
        </is>
      </c>
      <c r="G135" s="7" t="inlineStr">
        <is>
          <t>'Landscape'!B9:J9; 'Landscape'!B14</t>
        </is>
      </c>
    </row>
    <row r="136">
      <c r="B136" s="6" t="inlineStr">
        <is>
          <t>S131</t>
        </is>
      </c>
      <c r="C136" s="6" t="inlineStr">
        <is>
          <t>XGS Energy Selected by U.S. DOE to Advance Next-Generation Geothermal Development in New Mexico</t>
        </is>
      </c>
      <c r="D136" s="6" t="inlineStr">
        <is>
          <t>https://www.renewableenergymagazine.com/geothermal/xgs-energy-selected-by-u-s-doe-20260928</t>
        </is>
      </c>
      <c r="E136" s="6" t="inlineStr">
        <is>
          <t>2026-09-28</t>
        </is>
      </c>
      <c r="F136" s="6" t="inlineStr">
        <is>
          <t>3 hours ago</t>
        </is>
      </c>
      <c r="G136" s="6" t="inlineStr">
        <is>
          <t>'Landscape'!B9:J9; 'Landscape'!B14</t>
        </is>
      </c>
    </row>
    <row r="137">
      <c r="B137" s="7" t="inlineStr">
        <is>
          <t>S132</t>
        </is>
      </c>
      <c r="C137" s="7" t="inlineStr">
        <is>
          <t>XGS Energy Secures Additional $13 Million to Accelerate Advanced Geothermal Deployment</t>
        </is>
      </c>
      <c r="D137" s="7" t="inlineStr">
        <is>
          <t>https://www.businesswire.com/news/home/20250326123552/en/XGS-Energy-Secures-Additional-$13-Million-to-Accelerate-Advanced-Geothermal-Deployment</t>
        </is>
      </c>
      <c r="E137" s="7" t="inlineStr">
        <is>
          <t>2026-09-28</t>
        </is>
      </c>
      <c r="F137" s="7" t="inlineStr">
        <is>
          <t>March 26, 2025</t>
        </is>
      </c>
      <c r="G137" s="7" t="inlineStr">
        <is>
          <t>'Landscape'!B9:J9; 'Landscape'!B14</t>
        </is>
      </c>
    </row>
    <row r="138">
      <c r="B138" s="6" t="inlineStr">
        <is>
          <t>S133</t>
        </is>
      </c>
      <c r="C138" s="6" t="inlineStr">
        <is>
          <t>XGS Energy: Funding, Team &amp; Investors | Startup Intros</t>
        </is>
      </c>
      <c r="D138" s="6" t="inlineStr">
        <is>
          <t>https://startupintros.com/orgs/xgs-energy</t>
        </is>
      </c>
      <c r="E138" s="6" t="inlineStr">
        <is>
          <t>2026-09-28</t>
        </is>
      </c>
      <c r="F138" s="6" t="inlineStr">
        <is>
          <t>July 13, 2026</t>
        </is>
      </c>
      <c r="G138" s="6" t="inlineStr">
        <is>
          <t>searched, not cited in a cell</t>
        </is>
      </c>
    </row>
    <row r="139">
      <c r="B139" s="7" t="inlineStr">
        <is>
          <t>S134</t>
        </is>
      </c>
      <c r="C139" s="7" t="inlineStr">
        <is>
          <t>XGS – XGS Energy</t>
        </is>
      </c>
      <c r="D139" s="7" t="inlineStr">
        <is>
          <t>https://www.xgsenergy.com/author/sambglobal-com/</t>
        </is>
      </c>
      <c r="E139" s="7" t="inlineStr">
        <is>
          <t>2026-09-28</t>
        </is>
      </c>
      <c r="F139" s="7" t="inlineStr"/>
      <c r="G139" s="7" t="inlineStr">
        <is>
          <t>searched, not cited in a cell</t>
        </is>
      </c>
    </row>
    <row r="140">
      <c r="B140" s="6" t="inlineStr">
        <is>
          <t>S135</t>
        </is>
      </c>
      <c r="C140" s="6" t="inlineStr">
        <is>
          <t>XGS Energy Secures $19M in Financing and Adds Industry Leaders to Board of Directors to Advance Next-generation Geothermal Power – XGS Energy</t>
        </is>
      </c>
      <c r="D140" s="6" t="inlineStr">
        <is>
          <t>https://www.xgsenergy.com/xgs-energy-secures-19m-in-financing-and-adds-industry-leaders-to-board-of-directors-to-advance-next-generation-geothermal-power/</t>
        </is>
      </c>
      <c r="E140" s="6" t="inlineStr">
        <is>
          <t>2026-09-28</t>
        </is>
      </c>
      <c r="F140" s="6" t="inlineStr"/>
      <c r="G140" s="6" t="inlineStr">
        <is>
          <t>searched, not cited in a cell</t>
        </is>
      </c>
    </row>
    <row r="141">
      <c r="B141" s="7" t="inlineStr">
        <is>
          <t>S136</t>
        </is>
      </c>
      <c r="C141" s="7" t="inlineStr">
        <is>
          <t>Geothermal Innovator XGS Energy Completes Oversubscribed $20M Capital Raise – XGS Energy</t>
        </is>
      </c>
      <c r="D141" s="7" t="inlineStr">
        <is>
          <t>https://www.xgsenergy.com/geothermal-innovator-xgs-energy-completes-oversubscribed-20m-capital-raise/</t>
        </is>
      </c>
      <c r="E141" s="7" t="inlineStr">
        <is>
          <t>2026-09-28</t>
        </is>
      </c>
      <c r="F141" s="7" t="inlineStr"/>
      <c r="G141" s="7" t="inlineStr">
        <is>
          <t>searched, not cited in a cell</t>
        </is>
      </c>
    </row>
    <row r="142">
      <c r="B142" s="6" t="inlineStr">
        <is>
          <t>S137</t>
        </is>
      </c>
      <c r="C142" s="6" t="inlineStr">
        <is>
          <t>Renewables Now: Geothermal tech firm XGS Energy optimistic on US cost target – XGS Energy</t>
        </is>
      </c>
      <c r="D142" s="6" t="inlineStr">
        <is>
          <t>https://www.xgsenergy.com/renewables-now-geothermal-tech-firm-xgs-energy-optimistic-on-us-cost-target/</t>
        </is>
      </c>
      <c r="E142" s="6" t="inlineStr">
        <is>
          <t>2026-09-28</t>
        </is>
      </c>
      <c r="F142" s="6" t="inlineStr"/>
      <c r="G142" s="6" t="inlineStr">
        <is>
          <t>searched, not cited in a cell</t>
        </is>
      </c>
    </row>
    <row r="143">
      <c r="B143" s="7" t="inlineStr">
        <is>
          <t>S138</t>
        </is>
      </c>
      <c r="C143" s="7" t="inlineStr">
        <is>
          <t>XGS Energy Selected by U.S. Department of Energy to Advance Next-Generation Geothermal Development in New Mexico | FinancialContent</t>
        </is>
      </c>
      <c r="D143" s="7" t="inlineStr">
        <is>
          <t>https://www.financialcontent.com/article/bizwire-2026-9-28-xgs-energy-selected-by-us-department-of-energy-to-advance-next-generation-geothermal-development-in-new-mexico</t>
        </is>
      </c>
      <c r="E143" s="7" t="inlineStr">
        <is>
          <t>2026-09-28</t>
        </is>
      </c>
      <c r="F143" s="7" t="inlineStr">
        <is>
          <t>7 hours ago</t>
        </is>
      </c>
      <c r="G143" s="7" t="inlineStr">
        <is>
          <t>searched, not cited in a cell</t>
        </is>
      </c>
    </row>
    <row r="144">
      <c r="B144" s="6" t="inlineStr">
        <is>
          <t>S139</t>
        </is>
      </c>
      <c r="C144" s="6" t="inlineStr">
        <is>
          <t>Baker Hughes and Mantle Reach Power, an EnCap Energy Transition Company, Announce Strategic Agreement to Accelerate Large-scale Geothermal Across Nort</t>
        </is>
      </c>
      <c r="D144" s="6" t="inlineStr">
        <is>
          <t>https://www.theglobeandmail.com/investing/markets/stocks/BKR/pressreleases/2622314/baker-hughes-and-mantle-reach-power-an-encap-energy-transition-company-announce-strategic-agreement-to-accelerate-large-scale-geothermal-across-north-america/</t>
        </is>
      </c>
      <c r="E144" s="6" t="inlineStr">
        <is>
          <t>2026-09-28</t>
        </is>
      </c>
      <c r="F144" s="6" t="inlineStr">
        <is>
          <t>June 24, 2026</t>
        </is>
      </c>
      <c r="G144" s="6" t="inlineStr">
        <is>
          <t>searched, not cited in a cell</t>
        </is>
      </c>
    </row>
    <row r="145">
      <c r="B145" s="7" t="inlineStr">
        <is>
          <t>S140</t>
        </is>
      </c>
      <c r="C145" s="7" t="inlineStr">
        <is>
          <t>Geothermal Energy</t>
        </is>
      </c>
      <c r="D145" s="7" t="inlineStr">
        <is>
          <t>https://erlweb.mit.edu/geothermal-energy/</t>
        </is>
      </c>
      <c r="E145" s="7" t="inlineStr">
        <is>
          <t>2026-09-28</t>
        </is>
      </c>
      <c r="F145" s="7" t="inlineStr"/>
      <c r="G145" s="7" t="inlineStr">
        <is>
          <t>searched, not cited in a cell</t>
        </is>
      </c>
    </row>
    <row r="146">
      <c r="B146" s="6" t="inlineStr">
        <is>
          <t>S141</t>
        </is>
      </c>
      <c r="C146" s="6" t="inlineStr">
        <is>
          <t>Mantle Reach Power — Geothermal Independent Power Producer</t>
        </is>
      </c>
      <c r="D146" s="6" t="inlineStr">
        <is>
          <t>https://mantlereach.com/</t>
        </is>
      </c>
      <c r="E146" s="6" t="inlineStr">
        <is>
          <t>2026-09-28</t>
        </is>
      </c>
      <c r="F146" s="6" t="inlineStr"/>
      <c r="G146" s="6" t="inlineStr">
        <is>
          <t>'Landscape'!B12:J12; 'Landscape'!B14</t>
        </is>
      </c>
    </row>
    <row r="147">
      <c r="B147" s="7" t="inlineStr">
        <is>
          <t>S142</t>
        </is>
      </c>
      <c r="C147" s="7" t="inlineStr">
        <is>
          <t>Seismic evidence for a 1000 km mantle discontinuity under the Pacific</t>
        </is>
      </c>
      <c r="D147" s="7" t="inlineStr">
        <is>
          <t>https://www.ncbi.nlm.nih.gov/pmc/articles/PMC10042893/</t>
        </is>
      </c>
      <c r="E147" s="7" t="inlineStr">
        <is>
          <t>2026-09-28</t>
        </is>
      </c>
      <c r="F147" s="7" t="inlineStr"/>
      <c r="G147" s="7" t="inlineStr">
        <is>
          <t>searched, not cited in a cell</t>
        </is>
      </c>
    </row>
    <row r="148">
      <c r="B148" s="6" t="inlineStr">
        <is>
          <t>S143</t>
        </is>
      </c>
      <c r="C148" s="6" t="inlineStr">
        <is>
          <t>Baker Hughes and Mantle Reach Power, an EnCap Energy Transition Company, Announce Strategic Agreement to Accelerate Large-scale Geothermal Across Nort</t>
        </is>
      </c>
      <c r="D148" s="6" t="inlineStr">
        <is>
          <t>https://www.financialcontent.com/article/gnwcq-2026-6-24-baker-hughes-and-mantle-reach-power-an-encap-energy-transition-company-announce-strategic-agreement-to-accelerate-large-scale-geothermal-across-north-america</t>
        </is>
      </c>
      <c r="E148" s="6" t="inlineStr">
        <is>
          <t>2026-09-28</t>
        </is>
      </c>
      <c r="F148" s="6" t="inlineStr">
        <is>
          <t>June 24, 2026</t>
        </is>
      </c>
      <c r="G148" s="6" t="inlineStr">
        <is>
          <t>searched, not cited in a cell</t>
        </is>
      </c>
    </row>
    <row r="149">
      <c r="B149" s="7" t="inlineStr">
        <is>
          <t>S144</t>
        </is>
      </c>
      <c r="C149" s="7" t="inlineStr">
        <is>
          <t>Sage Geosystems Raises Over $97M To Deploy Commercial Pressure Geothermal Facility</t>
        </is>
      </c>
      <c r="D149" s="7" t="inlineStr">
        <is>
          <t>https://www.renewableenergymagazine.com/geothermal/sage-geosystems-raises-over-97m-to-deploy-20260127</t>
        </is>
      </c>
      <c r="E149" s="7" t="inlineStr">
        <is>
          <t>2026-09-28</t>
        </is>
      </c>
      <c r="F149" s="7" t="inlineStr">
        <is>
          <t>February 6, 2026</t>
        </is>
      </c>
      <c r="G149" s="7" t="inlineStr">
        <is>
          <t>searched, not cited in a cell</t>
        </is>
      </c>
    </row>
    <row r="150">
      <c r="B150" s="6" t="inlineStr">
        <is>
          <t>S145</t>
        </is>
      </c>
      <c r="C150" s="6" t="inlineStr">
        <is>
          <t>World's first commercial pressure geothermal plant secures funding</t>
        </is>
      </c>
      <c r="D150" s="6" t="inlineStr">
        <is>
          <t>https://interestingengineering.com/energy/worlds-first-commercial-pressure-geothermal-plant</t>
        </is>
      </c>
      <c r="E150" s="6" t="inlineStr">
        <is>
          <t>2026-09-28</t>
        </is>
      </c>
      <c r="F150" s="6" t="inlineStr">
        <is>
          <t>January 22, 2026</t>
        </is>
      </c>
      <c r="G150" s="6" t="inlineStr">
        <is>
          <t>searched, not cited in a cell</t>
        </is>
      </c>
    </row>
    <row r="151">
      <c r="B151" s="7" t="inlineStr">
        <is>
          <t>S146</t>
        </is>
      </c>
      <c r="C151" s="7" t="inlineStr">
        <is>
          <t>$97M boost for Sage Geosystems’ pioneering geothermal energy plant</t>
        </is>
      </c>
      <c r="D151" s="7" t="inlineStr">
        <is>
          <t>https://www.bicmagazine.com/api/amp/industry/investment-banking/97m-boost-for-sage-geosystems-pioneering-geothermal-energy/</t>
        </is>
      </c>
      <c r="E151" s="7" t="inlineStr">
        <is>
          <t>2026-09-28</t>
        </is>
      </c>
      <c r="F151" s="7" t="inlineStr">
        <is>
          <t>January 21, 2026</t>
        </is>
      </c>
      <c r="G151" s="7" t="inlineStr">
        <is>
          <t>searched, not cited in a cell</t>
        </is>
      </c>
    </row>
    <row r="152">
      <c r="B152" s="6" t="inlineStr">
        <is>
          <t>S147</t>
        </is>
      </c>
      <c r="C152" s="6" t="inlineStr">
        <is>
          <t>Sage Geosystems Raises Over $97 Million In Series B Funding - SuperbCrew</t>
        </is>
      </c>
      <c r="D152" s="6" t="inlineStr">
        <is>
          <t>https://www.superbcrew.com/sage-geosystems-raises-over-97-million-in-series-b-funding/</t>
        </is>
      </c>
      <c r="E152" s="6" t="inlineStr">
        <is>
          <t>2026-09-28</t>
        </is>
      </c>
      <c r="F152" s="6" t="inlineStr">
        <is>
          <t>January 27, 2026</t>
        </is>
      </c>
      <c r="G152" s="6" t="inlineStr">
        <is>
          <t>searched, not cited in a cell</t>
        </is>
      </c>
    </row>
    <row r="153">
      <c r="B153" s="7" t="inlineStr">
        <is>
          <t>S148</t>
        </is>
      </c>
      <c r="C153" s="7" t="inlineStr">
        <is>
          <t>Bedrock Energy: $12 Million (Series A) Secured For Scaling Geothermal Heating And Cooling</t>
        </is>
      </c>
      <c r="D153" s="7" t="inlineStr">
        <is>
          <t>https://pulse2.com/bedrock-energy-12-million-series-a-secured-for-scaling-geothermal-heating-and-cooling/</t>
        </is>
      </c>
      <c r="E153" s="7" t="inlineStr">
        <is>
          <t>2026-09-28</t>
        </is>
      </c>
      <c r="F153" s="7" t="inlineStr">
        <is>
          <t>January 27, 2025</t>
        </is>
      </c>
      <c r="G153" s="7" t="inlineStr">
        <is>
          <t>'Landscape'!B11:J11; 'Landscape'!B14</t>
        </is>
      </c>
    </row>
    <row r="154">
      <c r="B154" s="6" t="inlineStr">
        <is>
          <t>S149</t>
        </is>
      </c>
      <c r="C154" s="6" t="inlineStr">
        <is>
          <t>Bedrock Energy Secures $12M Series A to Advance Geothermal Heating and Cooling - Refindustry</t>
        </is>
      </c>
      <c r="D154" s="6" t="inlineStr">
        <is>
          <t>https://refindustry.com/news/bedrock-energy-secures-12m-series-a-to-advance-geothermal-heating-and-cooling/</t>
        </is>
      </c>
      <c r="E154" s="6" t="inlineStr">
        <is>
          <t>2026-09-28</t>
        </is>
      </c>
      <c r="F154" s="6" t="inlineStr">
        <is>
          <t>January 27, 2025</t>
        </is>
      </c>
      <c r="G154" s="6" t="inlineStr">
        <is>
          <t>searched, not cited in a cell</t>
        </is>
      </c>
    </row>
    <row r="155">
      <c r="B155" s="7" t="inlineStr">
        <is>
          <t>S150</t>
        </is>
      </c>
      <c r="C155" s="7" t="inlineStr">
        <is>
          <t>Geothermal Startup Bedrock Energy Secures $12M Series A Raise – Commercial Observer</t>
        </is>
      </c>
      <c r="D155" s="7" t="inlineStr">
        <is>
          <t>https://commercialobserver.com/2025/01/geothermal-startup-bedrock-energy-secures-12m-series-a-raise/</t>
        </is>
      </c>
      <c r="E155" s="7" t="inlineStr">
        <is>
          <t>2026-09-28</t>
        </is>
      </c>
      <c r="F155" s="7" t="inlineStr">
        <is>
          <t>January 21, 2025</t>
        </is>
      </c>
      <c r="G155" s="7" t="inlineStr">
        <is>
          <t>searched, not cited in a cell</t>
        </is>
      </c>
    </row>
    <row r="156">
      <c r="B156" s="6" t="inlineStr">
        <is>
          <t>S151</t>
        </is>
      </c>
      <c r="C156" s="6" t="inlineStr">
        <is>
          <t>Bedrock Energy secures $12m in funding to scale business</t>
        </is>
      </c>
      <c r="D156" s="6" t="inlineStr">
        <is>
          <t>https://www.thinkgeoenergy.com/bedrock-energy-secures-12m-in-funding-to-scale-business/</t>
        </is>
      </c>
      <c r="E156" s="6" t="inlineStr">
        <is>
          <t>2026-09-28</t>
        </is>
      </c>
      <c r="F156" s="6" t="inlineStr">
        <is>
          <t>January 22, 2025</t>
        </is>
      </c>
      <c r="G156" s="6" t="inlineStr">
        <is>
          <t>searched, not cited in a cell</t>
        </is>
      </c>
    </row>
    <row r="157">
      <c r="B157" s="7" t="inlineStr">
        <is>
          <t>S152</t>
        </is>
      </c>
      <c r="C157" s="7" t="inlineStr">
        <is>
          <t>Bedrock Energy Raises $12M Series A to Scale Geothermal Heating and Cooling | Nasdaq</t>
        </is>
      </c>
      <c r="D157" s="7" t="inlineStr">
        <is>
          <t>https://www.nasdaq.com/press-release/bedrock-energy-raises-12m-series-scale-geothermal-heating-and-cooling-2025-01-22</t>
        </is>
      </c>
      <c r="E157" s="7" t="inlineStr">
        <is>
          <t>2026-09-28</t>
        </is>
      </c>
      <c r="F157" s="7" t="inlineStr"/>
      <c r="G157" s="7" t="inlineStr">
        <is>
          <t>'Landscape'!B11:J11; 'Landscape'!B14</t>
        </is>
      </c>
    </row>
    <row r="158">
      <c r="B158" s="6" t="inlineStr">
        <is>
          <t>S153</t>
        </is>
      </c>
      <c r="C158" s="6" t="inlineStr">
        <is>
          <t>Bedrock Energy Secures $12M to Expand Geothermal in the Mountain West | The Driller</t>
        </is>
      </c>
      <c r="D158" s="6" t="inlineStr">
        <is>
          <t>https://www.thedriller.com/articles/93291-bedrock-energy-secures-12m-to-expand-geothermal-in-the-mountain-west</t>
        </is>
      </c>
      <c r="E158" s="6" t="inlineStr">
        <is>
          <t>2026-09-28</t>
        </is>
      </c>
      <c r="F158" s="6" t="inlineStr">
        <is>
          <t>February 6, 2025</t>
        </is>
      </c>
      <c r="G158" s="6" t="inlineStr">
        <is>
          <t>searched, not cited in a cell</t>
        </is>
      </c>
    </row>
    <row r="159">
      <c r="B159" s="7" t="inlineStr">
        <is>
          <t>S154</t>
        </is>
      </c>
      <c r="C159" s="7" t="inlineStr">
        <is>
          <t>Titanium Ventures Leads Series A Round in Bedrock Energy: Pioneering the Next Generation of Geothermal Solutions | Titanium Ventures</t>
        </is>
      </c>
      <c r="D159" s="7" t="inlineStr">
        <is>
          <t>https://ti.vc/titanium-ventures-leads-series-a-round-in-bedrock-energy-pioneering-the-next-generation-of-geothermal-solutions/</t>
        </is>
      </c>
      <c r="E159" s="7" t="inlineStr">
        <is>
          <t>2026-09-28</t>
        </is>
      </c>
      <c r="F159" s="7" t="inlineStr">
        <is>
          <t>January 22, 2025</t>
        </is>
      </c>
      <c r="G159" s="7" t="inlineStr">
        <is>
          <t>'Landscape'!B11:J11; 'Landscape'!B14</t>
        </is>
      </c>
    </row>
    <row r="160">
      <c r="B160" s="6" t="inlineStr">
        <is>
          <t>S155</t>
        </is>
      </c>
      <c r="C160" s="6" t="inlineStr">
        <is>
          <t>Bedrock Energy Raises $12M in Series A Funding</t>
        </is>
      </c>
      <c r="D160" s="6" t="inlineStr">
        <is>
          <t>https://www.finsmes.com/2025/01/bedrock-energy-raises-12m-in-series-a-funding.html</t>
        </is>
      </c>
      <c r="E160" s="6" t="inlineStr">
        <is>
          <t>2026-09-28</t>
        </is>
      </c>
      <c r="F160" s="6" t="inlineStr">
        <is>
          <t>January 22, 2025</t>
        </is>
      </c>
      <c r="G160" s="6" t="inlineStr">
        <is>
          <t>searched, not cited in a cell</t>
        </is>
      </c>
    </row>
    <row r="161">
      <c r="B161" s="7" t="inlineStr">
        <is>
          <t>S156</t>
        </is>
      </c>
      <c r="C161" s="7" t="inlineStr">
        <is>
          <t>Bedrock Raises $12 Million in Funding to Advance Geothermal Technology | Mining Connection — The Link For All Your Mining Resources</t>
        </is>
      </c>
      <c r="D161" s="7" t="inlineStr">
        <is>
          <t>https://miningconnection.com/gos/news/article/bedrock_raises_12_million_in_funding_to_advance_geothermal_technology</t>
        </is>
      </c>
      <c r="E161" s="7" t="inlineStr">
        <is>
          <t>2026-09-28</t>
        </is>
      </c>
      <c r="F161" s="7" t="inlineStr"/>
      <c r="G161" s="7" t="inlineStr">
        <is>
          <t>searched, not cited in a cell</t>
        </is>
      </c>
    </row>
    <row r="162">
      <c r="B162" s="6" t="inlineStr">
        <is>
          <t>S157</t>
        </is>
      </c>
      <c r="C162" s="6" t="inlineStr">
        <is>
          <t>Geothermal Energy Outlook 2026 | StartUs Insights</t>
        </is>
      </c>
      <c r="D162" s="6" t="inlineStr">
        <is>
          <t>https://www.startus-insights.com/innovators-guide/geothermal-energy-outlook/</t>
        </is>
      </c>
      <c r="E162" s="6" t="inlineStr">
        <is>
          <t>2026-09-28</t>
        </is>
      </c>
      <c r="F162" s="6" t="inlineStr">
        <is>
          <t>August 5, 2025</t>
        </is>
      </c>
      <c r="G162" s="6" t="inlineStr">
        <is>
          <t>searched, not cited in a cell</t>
        </is>
      </c>
    </row>
    <row r="163">
      <c r="B163" s="7" t="inlineStr">
        <is>
          <t>S158</t>
        </is>
      </c>
      <c r="C163" s="7" t="inlineStr">
        <is>
          <t>5 Interesting Startup Deals You May Have Missed: On-Demand Custom Manufacturing, Underwater Geothermal Energy, And Adventure Group Travel</t>
        </is>
      </c>
      <c r="D163" s="7" t="inlineStr">
        <is>
          <t>https://news.crunchbase.com/venture/interesting-startup-deals-custom-metal-group-travel-geothermal-energy/</t>
        </is>
      </c>
      <c r="E163" s="7" t="inlineStr">
        <is>
          <t>2026-09-28</t>
        </is>
      </c>
      <c r="F163" s="7" t="inlineStr">
        <is>
          <t>June 5, 2026</t>
        </is>
      </c>
      <c r="G163" s="7" t="inlineStr">
        <is>
          <t>searched, not cited in a cell</t>
        </is>
      </c>
    </row>
    <row r="164">
      <c r="B164" s="6" t="inlineStr">
        <is>
          <t>S159</t>
        </is>
      </c>
      <c r="C164" s="6" t="inlineStr">
        <is>
          <t>Old-School Geothermal Is Due for a Comeback, Says AI Startup - Heatmap News</t>
        </is>
      </c>
      <c r="D164" s="6" t="inlineStr">
        <is>
          <t>https://heatmap.news/climate-tech/ai-geothermal-discovery</t>
        </is>
      </c>
      <c r="E164" s="6" t="inlineStr">
        <is>
          <t>2026-09-28</t>
        </is>
      </c>
      <c r="F164" s="6" t="inlineStr">
        <is>
          <t>September 18, 2025</t>
        </is>
      </c>
      <c r="G164" s="6" t="inlineStr">
        <is>
          <t>'Scope'!B10:C10; 'Scope'!B15; 'Landscape'!B7:J7; 'Landscape'!B14; 'Risks'!B12; 'Risks'!B17</t>
        </is>
      </c>
    </row>
    <row r="165">
      <c r="B165" s="7" t="inlineStr">
        <is>
          <t>S160</t>
        </is>
      </c>
      <c r="C165" s="7" t="inlineStr">
        <is>
          <t>How AI Is Digging Up a New Energy Source | Energy Intelligence</t>
        </is>
      </c>
      <c r="D165" s="7" t="inlineStr">
        <is>
          <t>https://www.energyintel.com/0000019e-2679-d7a3-a59e-76ff59870000</t>
        </is>
      </c>
      <c r="E165" s="7" t="inlineStr">
        <is>
          <t>2026-09-28</t>
        </is>
      </c>
      <c r="F165" s="7" t="inlineStr">
        <is>
          <t>May 15, 2026</t>
        </is>
      </c>
      <c r="G165" s="7" t="inlineStr">
        <is>
          <t>searched, not cited in a cell</t>
        </is>
      </c>
    </row>
    <row r="166">
      <c r="B166" s="6" t="inlineStr">
        <is>
          <t>S161</t>
        </is>
      </c>
      <c r="C166" s="6" t="inlineStr">
        <is>
          <t>Best Geothermal Energy Startups (2026) | Seedtable</t>
        </is>
      </c>
      <c r="D166" s="6" t="inlineStr">
        <is>
          <t>https://seedtable.com/best-geothermal-energy-startups</t>
        </is>
      </c>
      <c r="E166" s="6" t="inlineStr">
        <is>
          <t>2026-09-28</t>
        </is>
      </c>
      <c r="F166" s="6" t="inlineStr"/>
      <c r="G166" s="6" t="inlineStr">
        <is>
          <t>searched, not cited in a cell</t>
        </is>
      </c>
    </row>
    <row r="167">
      <c r="B167" s="7" t="inlineStr">
        <is>
          <t>S162</t>
        </is>
      </c>
      <c r="C167" s="7" t="inlineStr">
        <is>
          <t>Geothermal energy turns red hot | MIT News | Massachusetts Institute of Technology</t>
        </is>
      </c>
      <c r="D167" s="7" t="inlineStr">
        <is>
          <t>https://news.mit.edu/2026/geothermal-energy-turns-red-hot-0415</t>
        </is>
      </c>
      <c r="E167" s="7" t="inlineStr">
        <is>
          <t>2026-09-28</t>
        </is>
      </c>
      <c r="F167" s="7" t="inlineStr"/>
      <c r="G167" s="7" t="inlineStr">
        <is>
          <t>searched, not cited in a cell</t>
        </is>
      </c>
    </row>
    <row r="168">
      <c r="B168" s="6" t="inlineStr">
        <is>
          <t>S163</t>
        </is>
      </c>
      <c r="C168" s="6" t="inlineStr">
        <is>
          <t>Startup Successfully Uses AI to Find New Geothermal Energy Reservoirs - Slashdot</t>
        </is>
      </c>
      <c r="D168" s="6" t="inlineStr">
        <is>
          <t>https://hardware.slashdot.org/story/25/12/13/2211227/startup-successfully-uses-ai-to-find-new-geothermal-energy-reservoirs</t>
        </is>
      </c>
      <c r="E168" s="6" t="inlineStr">
        <is>
          <t>2026-09-28</t>
        </is>
      </c>
      <c r="F168" s="6" t="inlineStr">
        <is>
          <t>December 13, 2025</t>
        </is>
      </c>
      <c r="G168" s="6" t="inlineStr">
        <is>
          <t>searched, not cited in a cell</t>
        </is>
      </c>
    </row>
    <row r="169">
      <c r="B169" s="7" t="inlineStr">
        <is>
          <t>S164</t>
        </is>
      </c>
      <c r="C169" s="7" t="inlineStr">
        <is>
          <t>Artificial Intelligence in Deep Geothermal Energy: Trends, Insights, and Future Perspectives - ScienceDirect</t>
        </is>
      </c>
      <c r="D169" s="7" t="inlineStr">
        <is>
          <t>https://www.sciencedirect.com/science/article/pii/S1755008425001036</t>
        </is>
      </c>
      <c r="E169" s="7" t="inlineStr">
        <is>
          <t>2026-09-28</t>
        </is>
      </c>
      <c r="F169" s="7" t="inlineStr">
        <is>
          <t>November 4, 2025</t>
        </is>
      </c>
      <c r="G169" s="7" t="inlineStr">
        <is>
          <t>searched, not cited in a cell</t>
        </is>
      </c>
    </row>
    <row r="170">
      <c r="B170" s="6" t="inlineStr">
        <is>
          <t>S165</t>
        </is>
      </c>
      <c r="C170" s="6" t="inlineStr">
        <is>
          <t>Top 25 Geothermal Energy startups 2026</t>
        </is>
      </c>
      <c r="D170" s="6" t="inlineStr">
        <is>
          <t>https://www.energystartups.org/top/geothermal/</t>
        </is>
      </c>
      <c r="E170" s="6" t="inlineStr">
        <is>
          <t>2026-09-28</t>
        </is>
      </c>
      <c r="F170" s="6" t="inlineStr">
        <is>
          <t>1 week ago</t>
        </is>
      </c>
      <c r="G170" s="6" t="inlineStr">
        <is>
          <t>searched, not cited in a cell</t>
        </is>
      </c>
    </row>
    <row r="171">
      <c r="B171" s="7" t="inlineStr">
        <is>
          <t>S166</t>
        </is>
      </c>
      <c r="C171" s="7" t="inlineStr">
        <is>
          <t>ORMAT TECHNOLOGIES, INC. - Form 8-K - FY2026</t>
        </is>
      </c>
      <c r="D171" s="7" t="inlineStr">
        <is>
          <t>https://www.sec.gov/Archives/edgar/data/0001296445/000143774926015235/ex_958050.htm</t>
        </is>
      </c>
      <c r="E171" s="7" t="inlineStr">
        <is>
          <t>2026-09-28</t>
        </is>
      </c>
      <c r="F171" s="7" t="inlineStr"/>
      <c r="G171" s="7" t="inlineStr">
        <is>
          <t>searched, not cited in a cell</t>
        </is>
      </c>
    </row>
    <row r="172">
      <c r="B172" s="6" t="inlineStr">
        <is>
          <t>S167</t>
        </is>
      </c>
      <c r="C172" s="6" t="inlineStr">
        <is>
          <t>Ormat Technologies Reports Second Quarter 2026 Financial Results | Taiwan News | Aug. 6, 2026 04:05</t>
        </is>
      </c>
      <c r="D172" s="6" t="inlineStr">
        <is>
          <t>https://www.taiwannews.com.tw/news/6415801</t>
        </is>
      </c>
      <c r="E172" s="6" t="inlineStr">
        <is>
          <t>2026-09-28</t>
        </is>
      </c>
      <c r="F172" s="6" t="inlineStr">
        <is>
          <t>August 6, 2026</t>
        </is>
      </c>
      <c r="G172" s="6" t="inlineStr">
        <is>
          <t>searched, not cited in a cell</t>
        </is>
      </c>
    </row>
    <row r="173">
      <c r="B173" s="7" t="inlineStr">
        <is>
          <t>S168</t>
        </is>
      </c>
      <c r="C173" s="7" t="inlineStr">
        <is>
          <t>Ormat Technologies Reports Second Quarter 2026 Financial Results</t>
        </is>
      </c>
      <c r="D173" s="7" t="inlineStr">
        <is>
          <t>https://finance.yahoo.com/energy/articles/ormat-technologies-reports-second-quarter-200500075.html</t>
        </is>
      </c>
      <c r="E173" s="7" t="inlineStr">
        <is>
          <t>2026-09-28</t>
        </is>
      </c>
      <c r="F173" s="7" t="inlineStr">
        <is>
          <t>August 5, 2026</t>
        </is>
      </c>
      <c r="G173" s="7" t="inlineStr">
        <is>
          <t>searched, not cited in a cell</t>
        </is>
      </c>
    </row>
    <row r="174">
      <c r="B174" s="6" t="inlineStr">
        <is>
          <t>S169</t>
        </is>
      </c>
      <c r="C174" s="6" t="inlineStr">
        <is>
          <t>Earnings call transcript: Ormat tops Q2 2026 estimates and lifts outlook By Investing.com</t>
        </is>
      </c>
      <c r="D174" s="6" t="inlineStr">
        <is>
          <t>https://www.investing.com/news/transcripts/earnings-call-transcript-ormat-tops-q2-2026-estimates-and-lifts-outlook-93CH-4843186</t>
        </is>
      </c>
      <c r="E174" s="6" t="inlineStr">
        <is>
          <t>2026-09-28</t>
        </is>
      </c>
      <c r="F174" s="6" t="inlineStr">
        <is>
          <t>August 7, 2026</t>
        </is>
      </c>
      <c r="G174" s="6" t="inlineStr">
        <is>
          <t>'Incumbents'!B8:H8; 'Incumbents'!B11</t>
        </is>
      </c>
    </row>
    <row r="175">
      <c r="B175" s="7" t="inlineStr">
        <is>
          <t>S170</t>
        </is>
      </c>
      <c r="C175" s="7" t="inlineStr">
        <is>
          <t>Ormat Technologies (NYSE:ORA) - Stock Analysis - Simply Wall St</t>
        </is>
      </c>
      <c r="D175" s="7" t="inlineStr">
        <is>
          <t>https://simplywall.st/stocks/us/utilities/nyse-ora/ormat-technologies</t>
        </is>
      </c>
      <c r="E175" s="7" t="inlineStr">
        <is>
          <t>2026-09-28</t>
        </is>
      </c>
      <c r="F175" s="7" t="inlineStr">
        <is>
          <t>August 19, 2026</t>
        </is>
      </c>
      <c r="G175" s="7" t="inlineStr">
        <is>
          <t>searched, not cited in a cell</t>
        </is>
      </c>
    </row>
    <row r="176">
      <c r="B176" s="6" t="inlineStr">
        <is>
          <t>S171</t>
        </is>
      </c>
      <c r="C176" s="6" t="inlineStr">
        <is>
          <t>Ormat Technologies Reports Second Quarter 2026 Financial Results | Nasdaq</t>
        </is>
      </c>
      <c r="D176" s="6" t="inlineStr">
        <is>
          <t>https://www.nasdaq.com/press-release/ormat-technologies-reports-second-quarter-2026-financial-results-2026-08-05</t>
        </is>
      </c>
      <c r="E176" s="6" t="inlineStr">
        <is>
          <t>2026-09-28</t>
        </is>
      </c>
      <c r="F176" s="6" t="inlineStr"/>
      <c r="G176" s="6" t="inlineStr">
        <is>
          <t>searched, not cited in a cell</t>
        </is>
      </c>
    </row>
    <row r="177">
      <c r="B177" s="7" t="inlineStr">
        <is>
          <t>S172</t>
        </is>
      </c>
      <c r="C177" s="7" t="inlineStr">
        <is>
          <t>ORMAT TECHNOLOGIES, INC. - Form 8-K - FY2024</t>
        </is>
      </c>
      <c r="D177" s="7" t="inlineStr">
        <is>
          <t>https://www.sec.gov/Archives/edgar/data/1296445/000143774924024906/ex_709593.htm</t>
        </is>
      </c>
      <c r="E177" s="7" t="inlineStr">
        <is>
          <t>2026-09-28</t>
        </is>
      </c>
      <c r="F177" s="7" t="inlineStr"/>
      <c r="G177" s="7" t="inlineStr">
        <is>
          <t>searched, not cited in a cell</t>
        </is>
      </c>
    </row>
    <row r="178">
      <c r="B178" s="6" t="inlineStr">
        <is>
          <t>S173</t>
        </is>
      </c>
      <c r="C178" s="6" t="inlineStr">
        <is>
          <t>Ormat Technologies (ORA) Lifts 2026 Revenue Outlook After Q2 Beat And Dividend Hike – Is The Bull Case Intact? - Simply Wall St News</t>
        </is>
      </c>
      <c r="D178" s="6" t="inlineStr">
        <is>
          <t>https://simplywall.st/stocks/us/utilities/nyse-ora/ormat-technologies/news/ormat-technologies-ora-lifts-2026-revenue-outlook-after-q2-b/amp</t>
        </is>
      </c>
      <c r="E178" s="6" t="inlineStr">
        <is>
          <t>2026-09-28</t>
        </is>
      </c>
      <c r="F178" s="6" t="inlineStr">
        <is>
          <t>August 15, 2026</t>
        </is>
      </c>
      <c r="G178" s="6" t="inlineStr">
        <is>
          <t>searched, not cited in a cell</t>
        </is>
      </c>
    </row>
    <row r="179">
      <c r="B179" s="7" t="inlineStr">
        <is>
          <t>S174</t>
        </is>
      </c>
      <c r="C179" s="7" t="inlineStr">
        <is>
          <t>ORMAT TECHNOLOGIES, INC. - Form 8-K - FY2022</t>
        </is>
      </c>
      <c r="D179" s="7" t="inlineStr">
        <is>
          <t>https://www.sec.gov/Archives/edgar/data/1296445/000143774922018841/ex_406574.htm</t>
        </is>
      </c>
      <c r="E179" s="7" t="inlineStr">
        <is>
          <t>2026-09-28</t>
        </is>
      </c>
      <c r="F179" s="7" t="inlineStr"/>
      <c r="G179" s="7" t="inlineStr">
        <is>
          <t>searched, not cited in a cell</t>
        </is>
      </c>
    </row>
    <row r="180">
      <c r="B180" s="6" t="inlineStr">
        <is>
          <t>S175</t>
        </is>
      </c>
      <c r="C180" s="6" t="inlineStr">
        <is>
          <t>Earnings call transcript: Fervo Energy falls as q2 2026 losses widen By Investing.com</t>
        </is>
      </c>
      <c r="D180" s="6" t="inlineStr">
        <is>
          <t>https://www.investing.com/news/transcripts/earnings-call-transcript-fervo-energy-falls-as-q2-2026-losses-widen-93CH-4855568</t>
        </is>
      </c>
      <c r="E180" s="6" t="inlineStr">
        <is>
          <t>2026-09-28</t>
        </is>
      </c>
      <c r="F180" s="6" t="inlineStr">
        <is>
          <t>August 12, 2026</t>
        </is>
      </c>
      <c r="G180" s="6" t="inlineStr">
        <is>
          <t>'Incumbents'!B7:H7; 'Incumbents'!B11</t>
        </is>
      </c>
    </row>
    <row r="181">
      <c r="B181" s="7" t="inlineStr">
        <is>
          <t>S176</t>
        </is>
      </c>
      <c r="C181" s="7" t="inlineStr">
        <is>
          <t>Fervo Energy Co 2026: Revenue $61K, Net income ($31.83M), EPS ($3.72) — 10-Q Summary</t>
        </is>
      </c>
      <c r="D181" s="7" t="inlineStr">
        <is>
          <t>https://www.tradingview.com/news/tradingview:d5ca7fceb9be4:0-fervo-energy-co-2026-revenue-61k-net-income-31-83m-eps-3-72-10-q-summary/</t>
        </is>
      </c>
      <c r="E181" s="7" t="inlineStr">
        <is>
          <t>2026-09-28</t>
        </is>
      </c>
      <c r="F181" s="7" t="inlineStr">
        <is>
          <t>June 23, 2026</t>
        </is>
      </c>
      <c r="G181" s="7" t="inlineStr">
        <is>
          <t>searched, not cited in a cell</t>
        </is>
      </c>
    </row>
    <row r="182">
      <c r="B182" s="6" t="inlineStr">
        <is>
          <t>S177</t>
        </is>
      </c>
      <c r="C182" s="6" t="inlineStr">
        <is>
          <t>Fervo Energy Co 2026: Revenue $113K, Net income ($55.92M), EPS ($0.38) — 10-Q Summary</t>
        </is>
      </c>
      <c r="D182" s="6" t="inlineStr">
        <is>
          <t>https://www.tradingview.com/news/tradingview:63407cafb9cc8:0-fervo-energy-co-2026-revenue-113k-net-income-55-92m-eps-0-38-10-q-summary/</t>
        </is>
      </c>
      <c r="E182" s="6" t="inlineStr">
        <is>
          <t>2026-09-28</t>
        </is>
      </c>
      <c r="F182" s="6" t="inlineStr">
        <is>
          <t>August 13, 2026</t>
        </is>
      </c>
      <c r="G182" s="6" t="inlineStr">
        <is>
          <t>searched, not cited in a cell</t>
        </is>
      </c>
    </row>
    <row r="183">
      <c r="B183" s="7" t="inlineStr">
        <is>
          <t>S178</t>
        </is>
      </c>
      <c r="C183" s="7" t="inlineStr">
        <is>
          <t>Fervo Energy Co (FRVO) (Q2 2026) Earnings Call Highlights: Geothermal Pioneer Expands Pipeline ...</t>
        </is>
      </c>
      <c r="D183" s="7" t="inlineStr">
        <is>
          <t>https://finance.yahoo.com/energy/articles/fervo-energy-co-frvo-q2-030223489.html</t>
        </is>
      </c>
      <c r="E183" s="7" t="inlineStr">
        <is>
          <t>2026-09-28</t>
        </is>
      </c>
      <c r="F183" s="7" t="inlineStr">
        <is>
          <t>August 18, 2026</t>
        </is>
      </c>
      <c r="G183" s="7" t="inlineStr">
        <is>
          <t>searched, not cited in a cell</t>
        </is>
      </c>
    </row>
    <row r="184">
      <c r="B184" s="6" t="inlineStr">
        <is>
          <t>S179</t>
        </is>
      </c>
      <c r="C184" s="6" t="inlineStr">
        <is>
          <t>Fervo Energy Q2 Earnings: $2.2B IPO, $55.9M Net Loss | FRVO Stock News</t>
        </is>
      </c>
      <c r="D184" s="6" t="inlineStr">
        <is>
          <t>https://www.stocktitan.net/news/FRVO/fervo-energy-reports-second-quarter-2026-mezquy1ecxf4.html</t>
        </is>
      </c>
      <c r="E184" s="6" t="inlineStr">
        <is>
          <t>2026-09-28</t>
        </is>
      </c>
      <c r="F184" s="6" t="inlineStr">
        <is>
          <t>August 12, 2026</t>
        </is>
      </c>
      <c r="G184" s="6" t="inlineStr">
        <is>
          <t>searched, not cited in a cell</t>
        </is>
      </c>
    </row>
    <row r="185">
      <c r="B185" s="7" t="inlineStr">
        <is>
          <t>S180</t>
        </is>
      </c>
      <c r="C185" s="7" t="inlineStr">
        <is>
          <t>Fervo Energy Q2 2026 loss after $2.2B IPO | FRVO 8-K Filing</t>
        </is>
      </c>
      <c r="D185" s="7" t="inlineStr">
        <is>
          <t>https://www.stocktitan.net/sec-filings/FRVO/8-k-fervo-energy-co-reports-material-event-a2b9deb5f871.html</t>
        </is>
      </c>
      <c r="E185" s="7" t="inlineStr">
        <is>
          <t>2026-09-28</t>
        </is>
      </c>
      <c r="F185" s="7" t="inlineStr">
        <is>
          <t>August 12, 2026</t>
        </is>
      </c>
      <c r="G185" s="7" t="inlineStr">
        <is>
          <t>searched, not cited in a cell</t>
        </is>
      </c>
    </row>
    <row r="186">
      <c r="B186" s="6" t="inlineStr">
        <is>
          <t>S181</t>
        </is>
      </c>
      <c r="C186" s="6" t="inlineStr">
        <is>
          <t>Fervo Energy Q2 2026 results, cash and build-out | FRVO Quarterly Report (10-Q)</t>
        </is>
      </c>
      <c r="D186" s="6" t="inlineStr">
        <is>
          <t>https://www.stocktitan.net/sec-filings/FRVO/10-q-fervo-energy-co-quarterly-earnings-report-af859383d30c.html</t>
        </is>
      </c>
      <c r="E186" s="6" t="inlineStr">
        <is>
          <t>2026-09-28</t>
        </is>
      </c>
      <c r="F186" s="6" t="inlineStr">
        <is>
          <t>August 13, 2026</t>
        </is>
      </c>
      <c r="G186" s="6" t="inlineStr">
        <is>
          <t>searched, not cited in a cell</t>
        </is>
      </c>
    </row>
    <row r="187">
      <c r="B187" s="7" t="inlineStr">
        <is>
          <t>S182</t>
        </is>
      </c>
      <c r="C187" s="7" t="inlineStr">
        <is>
          <t>DOE awards $99 million to 21 geothermal projects for field tests and exploration drilling</t>
        </is>
      </c>
      <c r="D187" s="7" t="inlineStr">
        <is>
          <t>https://gcn.com/doe-awards-million-geothermal-projects-field/21959</t>
        </is>
      </c>
      <c r="E187" s="7" t="inlineStr">
        <is>
          <t>2026-09-28</t>
        </is>
      </c>
      <c r="F187" s="7" t="inlineStr">
        <is>
          <t>2 days ago</t>
        </is>
      </c>
      <c r="G187" s="7" t="inlineStr">
        <is>
          <t>searched, not cited in a cell</t>
        </is>
      </c>
    </row>
    <row r="188">
      <c r="B188" s="6" t="inlineStr">
        <is>
          <t>S183</t>
        </is>
      </c>
      <c r="C188" s="6" t="inlineStr">
        <is>
          <t>DOE Awards $99 Million for Geothermal Drilling Projects</t>
        </is>
      </c>
      <c r="D188" s="6" t="inlineStr">
        <is>
          <t>https://hoodline.com/2026/09/us-puts-99-million-behind-21-geothermal-projects-betting-on-underground-power-boom/</t>
        </is>
      </c>
      <c r="E188" s="6" t="inlineStr">
        <is>
          <t>2026-09-28</t>
        </is>
      </c>
      <c r="F188" s="6" t="inlineStr">
        <is>
          <t>1 week ago</t>
        </is>
      </c>
      <c r="G188" s="6" t="inlineStr">
        <is>
          <t>searched, not cited in a cell</t>
        </is>
      </c>
    </row>
    <row r="189">
      <c r="B189" s="7" t="inlineStr">
        <is>
          <t>S184</t>
        </is>
      </c>
      <c r="C189" s="7" t="inlineStr">
        <is>
          <t>DOE Awards $99 Million for Geothermal Projects To Advance Next-Generation Technologies</t>
        </is>
      </c>
      <c r="D189" s="7" t="inlineStr">
        <is>
          <t>https://jpt.spe.org/doe-awards-99-million-for-geothermal-projects-to-advance-next-generation-technologies</t>
        </is>
      </c>
      <c r="E189" s="7" t="inlineStr">
        <is>
          <t>2026-09-28</t>
        </is>
      </c>
      <c r="F189" s="7" t="inlineStr">
        <is>
          <t>5 days ago</t>
        </is>
      </c>
      <c r="G189" s="7" t="inlineStr">
        <is>
          <t>searched, not cited in a cell</t>
        </is>
      </c>
    </row>
    <row r="190">
      <c r="B190" s="6" t="inlineStr">
        <is>
          <t>S185</t>
        </is>
      </c>
      <c r="C190" s="6" t="inlineStr">
        <is>
          <t>US DOE announces $99M funding for Enhanced Geothermal field tests and exploration drilling</t>
        </is>
      </c>
      <c r="D190" s="6" t="inlineStr">
        <is>
          <t>https://www.thinkgeoenergy.com/us-doe-announces-99m-funding-for-enhanced-geothermal-field-tests-and-exploration-drilling/</t>
        </is>
      </c>
      <c r="E190" s="6" t="inlineStr">
        <is>
          <t>2026-09-28</t>
        </is>
      </c>
      <c r="F190" s="6" t="inlineStr">
        <is>
          <t>1 week ago</t>
        </is>
      </c>
      <c r="G190" s="6" t="inlineStr">
        <is>
          <t>searched, not cited in a cell</t>
        </is>
      </c>
    </row>
    <row r="191">
      <c r="B191" s="7" t="inlineStr">
        <is>
          <t>S186</t>
        </is>
      </c>
      <c r="C191" s="7" t="inlineStr">
        <is>
          <t>US DOE to Award $99MM to Geothermal Innovation, Exploration Projects | Rigzone</t>
        </is>
      </c>
      <c r="D191" s="7" t="inlineStr">
        <is>
          <t>https://www.rigzone.com/news/us_doe_to_award_99mm_to_geothermal_innovation_exploration_projects-22-sep-2026-184677-article/?rss=true</t>
        </is>
      </c>
      <c r="E191" s="7" t="inlineStr">
        <is>
          <t>2026-09-28</t>
        </is>
      </c>
      <c r="F191" s="7" t="inlineStr">
        <is>
          <t>1 week ago</t>
        </is>
      </c>
      <c r="G191" s="7" t="inlineStr">
        <is>
          <t>searched, not cited in a cell</t>
        </is>
      </c>
    </row>
    <row r="192">
      <c r="B192" s="6" t="inlineStr">
        <is>
          <t>S187</t>
        </is>
      </c>
      <c r="C192" s="6" t="inlineStr">
        <is>
          <t>XGS Energy Selected by U.S. Department of Energy to Advance Next-Generation Geothermal Development in New Mexico</t>
        </is>
      </c>
      <c r="D192" s="6" t="inlineStr">
        <is>
          <t>https://www.lelezard.com/en/news-xgs-energy-selected-by-us-department-of-energy-to-advance-next-generation-geothermal-development-in-22381317.html</t>
        </is>
      </c>
      <c r="E192" s="6" t="inlineStr">
        <is>
          <t>2026-09-28</t>
        </is>
      </c>
      <c r="F192" s="6" t="inlineStr"/>
      <c r="G192" s="6" t="inlineStr">
        <is>
          <t>searched, not cited in a cell</t>
        </is>
      </c>
    </row>
    <row r="193">
      <c r="B193" s="7" t="inlineStr">
        <is>
          <t>S188</t>
        </is>
      </c>
      <c r="C193" s="7" t="inlineStr">
        <is>
          <t>US DOE Funds 21 Geothermal Projects With Up to $99-Million - News and Statistics - IndexBox</t>
        </is>
      </c>
      <c r="D193" s="7" t="inlineStr">
        <is>
          <t>https://www.indexbox.io/blog/us-doe-selects-21-geothermal-projects-for-up-to-99-million-in-funding/</t>
        </is>
      </c>
      <c r="E193" s="7" t="inlineStr">
        <is>
          <t>2026-09-28</t>
        </is>
      </c>
      <c r="F193" s="7" t="inlineStr">
        <is>
          <t>1 week ago</t>
        </is>
      </c>
      <c r="G193" s="7" t="inlineStr">
        <is>
          <t>searched, not cited in a cell</t>
        </is>
      </c>
    </row>
    <row r="194">
      <c r="B194" s="6" t="inlineStr">
        <is>
          <t>S189</t>
        </is>
      </c>
      <c r="C194" s="6" t="inlineStr">
        <is>
          <t>Baker Hughes to back large-scale geothermal plans of Mantle Reach Power</t>
        </is>
      </c>
      <c r="D194" s="6" t="inlineStr">
        <is>
          <t>https://www.thinkgeoenergy.com/baker-hughes-to-back-large-scale-geothermal-plans-of-mantle-reach-power/</t>
        </is>
      </c>
      <c r="E194" s="6" t="inlineStr">
        <is>
          <t>2026-09-28</t>
        </is>
      </c>
      <c r="F194" s="6" t="inlineStr">
        <is>
          <t>June 25, 2026</t>
        </is>
      </c>
      <c r="G194" s="6" t="inlineStr">
        <is>
          <t>'Scope'!B13:C13; 'Scope'!B15; 'Trends'!B81:F81; 'Trends'!B82:F82; 'Trends'!B83:F83; 'Trends'!B84; 'Landscape'!B12:J12; 'Landscape'!B14; 'Incumbents'!B9:H9; 'Incumbents'!B11</t>
        </is>
      </c>
    </row>
    <row r="195">
      <c r="B195" s="7" t="inlineStr">
        <is>
          <t>S190</t>
        </is>
      </c>
      <c r="C195" s="7" t="inlineStr">
        <is>
          <t>Baker Hughes and Mantle Reach Power, an EnCap Energy Transition Company, Announce Strategic Agreement to Accelerate Large-scale Geothermal Across Nort</t>
        </is>
      </c>
      <c r="D195" s="7" t="inlineStr">
        <is>
          <t>https://finance.yahoo.com/energy/articles/baker-hughes-mantle-reach-power-110000663.html</t>
        </is>
      </c>
      <c r="E195" s="7" t="inlineStr">
        <is>
          <t>2026-09-28</t>
        </is>
      </c>
      <c r="F195" s="7" t="inlineStr">
        <is>
          <t>June 24, 2026</t>
        </is>
      </c>
      <c r="G195" s="7" t="inlineStr">
        <is>
          <t>searched, not cited in a cell</t>
        </is>
      </c>
    </row>
    <row r="196">
      <c r="B196" s="6" t="inlineStr">
        <is>
          <t>S191</t>
        </is>
      </c>
      <c r="C196" s="6" t="inlineStr">
        <is>
          <t>Baker Hughes and Mantle Reach Power announce strategic agreement | Energy Global</t>
        </is>
      </c>
      <c r="D196" s="6" t="inlineStr">
        <is>
          <t>https://www.energyglobal.com/other-renewables/26062026/baker-hughes-and-mantle-reach-power-announce-strategic-agreement/</t>
        </is>
      </c>
      <c r="E196" s="6" t="inlineStr">
        <is>
          <t>2026-09-28</t>
        </is>
      </c>
      <c r="F196" s="6" t="inlineStr">
        <is>
          <t>June 26, 2026</t>
        </is>
      </c>
      <c r="G196" s="6" t="inlineStr">
        <is>
          <t>searched, not cited in a cell</t>
        </is>
      </c>
    </row>
    <row r="197">
      <c r="B197" s="7" t="inlineStr">
        <is>
          <t>S192</t>
        </is>
      </c>
      <c r="C197" s="7" t="inlineStr">
        <is>
          <t>Baker Hughes, Mantle Reach to install 500 MW of geothermal power - Energy Capital</t>
        </is>
      </c>
      <c r="D197" s="7" t="inlineStr">
        <is>
          <t>https://energycapitalhtx.com/baker-hughes-mantle-reach-geothermal</t>
        </is>
      </c>
      <c r="E197" s="7" t="inlineStr">
        <is>
          <t>2026-09-28</t>
        </is>
      </c>
      <c r="F197" s="7" t="inlineStr">
        <is>
          <t>June 30, 2026</t>
        </is>
      </c>
      <c r="G197" s="7" t="inlineStr">
        <is>
          <t>searched, not cited in a cell</t>
        </is>
      </c>
    </row>
    <row r="198">
      <c r="B198" s="6" t="inlineStr">
        <is>
          <t>S193</t>
        </is>
      </c>
      <c r="C198" s="6" t="inlineStr">
        <is>
          <t>BAKER HUGHES INC - Form 425 - FY2016</t>
        </is>
      </c>
      <c r="D198" s="6" t="inlineStr">
        <is>
          <t>https://www.sec.gov/Archives/edgar/data/0000808362/000094787116001605/ss17245_425.htm</t>
        </is>
      </c>
      <c r="E198" s="6" t="inlineStr">
        <is>
          <t>2026-09-28</t>
        </is>
      </c>
      <c r="F198" s="6" t="inlineStr"/>
      <c r="G198" s="6" t="inlineStr">
        <is>
          <t>searched, not cited in a cell</t>
        </is>
      </c>
    </row>
    <row r="199">
      <c r="B199" s="7" t="inlineStr">
        <is>
          <t>S194</t>
        </is>
      </c>
      <c r="C199" s="7" t="inlineStr">
        <is>
          <t>Eavor Advances Next-Generation Geothermal Technology with Support from the Government of Alberta</t>
        </is>
      </c>
      <c r="D199" s="7" t="inlineStr">
        <is>
          <t>https://www.bnnbloomberg.ca/press-releases/2026/07/08/eavor-advances-next-generation-geothermal-technology-with-support-from-the-government-of-alberta/</t>
        </is>
      </c>
      <c r="E199" s="7" t="inlineStr">
        <is>
          <t>2026-09-28</t>
        </is>
      </c>
      <c r="F199" s="7" t="inlineStr">
        <is>
          <t>July 8, 2026</t>
        </is>
      </c>
      <c r="G199" s="7" t="inlineStr">
        <is>
          <t>searched, not cited in a cell</t>
        </is>
      </c>
    </row>
    <row r="200">
      <c r="B200" s="6" t="inlineStr">
        <is>
          <t>S195</t>
        </is>
      </c>
      <c r="C200" s="6" t="inlineStr">
        <is>
          <t>Eavor Advances Next-Generation Geothermal Technology with Support from the Government of Alberta | Macau Business</t>
        </is>
      </c>
      <c r="D200" s="6" t="inlineStr">
        <is>
          <t>https://macaubusiness.com/eavor-advances-next-generation-geothermal-technology-with-support-from-the-government-of-alberta/</t>
        </is>
      </c>
      <c r="E200" s="6" t="inlineStr">
        <is>
          <t>2026-09-28</t>
        </is>
      </c>
      <c r="F200" s="6" t="inlineStr">
        <is>
          <t>July 7, 2026</t>
        </is>
      </c>
      <c r="G200" s="6" t="inlineStr">
        <is>
          <t>searched, not cited in a cell</t>
        </is>
      </c>
    </row>
    <row r="201">
      <c r="B201" s="7" t="inlineStr">
        <is>
          <t>S196</t>
        </is>
      </c>
      <c r="C201" s="7" t="inlineStr">
        <is>
          <t>Eavor receives support from Government of Alberta | Energy Global</t>
        </is>
      </c>
      <c r="D201" s="7" t="inlineStr">
        <is>
          <t>https://www.energyglobal.com/other-renewables/09072026/eavor-receives-support-from-government-of-alberta/</t>
        </is>
      </c>
      <c r="E201" s="7" t="inlineStr">
        <is>
          <t>2026-09-28</t>
        </is>
      </c>
      <c r="F201" s="7" t="inlineStr">
        <is>
          <t>July 9, 2026</t>
        </is>
      </c>
      <c r="G201" s="7" t="inlineStr">
        <is>
          <t>searched, not cited in a cell</t>
        </is>
      </c>
    </row>
    <row r="202">
      <c r="B202" s="6" t="inlineStr">
        <is>
          <t>S197</t>
        </is>
      </c>
      <c r="C202" s="6" t="inlineStr">
        <is>
          <t>Eavor - 2026 Company Profile, Funding &amp; Competitors - Tracxn</t>
        </is>
      </c>
      <c r="D202" s="6" t="inlineStr">
        <is>
          <t>https://tracxn.com/d/companies/eavor/__cNJDA37lYuzFzx5EnrSNgp0K_Vqq0eyTFCO4nnK6mY4</t>
        </is>
      </c>
      <c r="E202" s="6" t="inlineStr">
        <is>
          <t>2026-09-28</t>
        </is>
      </c>
      <c r="F202" s="6" t="inlineStr">
        <is>
          <t>July 20, 2026</t>
        </is>
      </c>
      <c r="G202" s="6" t="inlineStr">
        <is>
          <t>searched, not cited in a cell</t>
        </is>
      </c>
    </row>
    <row r="203">
      <c r="B203" s="7" t="inlineStr">
        <is>
          <t>S198</t>
        </is>
      </c>
      <c r="C203" s="7" t="inlineStr">
        <is>
          <t>Eavor Advances Next-Generation Geothermal Technology with Support from the Government of Alberta</t>
        </is>
      </c>
      <c r="D203" s="7" t="inlineStr">
        <is>
          <t>https://www.globenewswire.com/news-release/2026/07/07/3323766/0/en/Eavor-Advances-Next-Generation-Geothermal-Technology-with-Support-from-the-Government-of-Alberta.html</t>
        </is>
      </c>
      <c r="E203" s="7" t="inlineStr">
        <is>
          <t>2026-09-28</t>
        </is>
      </c>
      <c r="F203" s="7" t="inlineStr">
        <is>
          <t>July 7, 2026</t>
        </is>
      </c>
      <c r="G203" s="7" t="inlineStr">
        <is>
          <t>searched, not cited in a cell</t>
        </is>
      </c>
    </row>
    <row r="204">
      <c r="B204" s="6" t="inlineStr">
        <is>
          <t>S199</t>
        </is>
      </c>
      <c r="C204" s="6" t="inlineStr">
        <is>
          <t>Capital Raise of $182 Million Confirms Eavor as the Leader in Scalable Geothermal - Eavor</t>
        </is>
      </c>
      <c r="D204" s="6" t="inlineStr">
        <is>
          <t>https://eavor.com/press-releases/capital-raise-of-182-million-confirms-eavor-as-the-leader-in-scalable-geothermal/</t>
        </is>
      </c>
      <c r="E204" s="6" t="inlineStr">
        <is>
          <t>2026-09-28</t>
        </is>
      </c>
      <c r="F204" s="6" t="inlineStr">
        <is>
          <t>March 31, 2025</t>
        </is>
      </c>
      <c r="G204" s="6" t="inlineStr">
        <is>
          <t>searched, not cited in a cell</t>
        </is>
      </c>
    </row>
    <row r="205">
      <c r="B205" s="7" t="inlineStr">
        <is>
          <t>S200</t>
        </is>
      </c>
      <c r="C205" s="7" t="inlineStr">
        <is>
          <t>Eavor lands $8M Alberta grant for deeper geothermal tech - Canadian Mining Journal</t>
        </is>
      </c>
      <c r="D205" s="7" t="inlineStr">
        <is>
          <t>https://www.canadianminingjournal.com/news/eavor-lands-8%E2%80%91million-alberta-grant-for-deeper-geothermal-tech/</t>
        </is>
      </c>
      <c r="E205" s="7" t="inlineStr">
        <is>
          <t>2026-09-28</t>
        </is>
      </c>
      <c r="F205" s="7" t="inlineStr">
        <is>
          <t>July 8, 2026</t>
        </is>
      </c>
      <c r="G205" s="7" t="inlineStr">
        <is>
          <t>searched, not cited in a cell</t>
        </is>
      </c>
    </row>
    <row r="206">
      <c r="B206" s="6" t="inlineStr">
        <is>
          <t>S201</t>
        </is>
      </c>
      <c r="C206" s="6" t="inlineStr">
        <is>
          <t>Eavor Technologies Inc. (Energy, Renewable Energy) — Funding, Investors &amp; Signals 2026 - Bounce Watch</t>
        </is>
      </c>
      <c r="D206" s="6" t="inlineStr">
        <is>
          <t>https://bouncewatch.com/company/eavor-technologies-inc</t>
        </is>
      </c>
      <c r="E206" s="6" t="inlineStr">
        <is>
          <t>2026-09-28</t>
        </is>
      </c>
      <c r="F206" s="6" t="inlineStr">
        <is>
          <t>June 9, 2026</t>
        </is>
      </c>
      <c r="G206" s="6" t="inlineStr">
        <is>
          <t>searched, not cited in a cell</t>
        </is>
      </c>
    </row>
    <row r="207">
      <c r="B207" s="7" t="inlineStr">
        <is>
          <t>S202</t>
        </is>
      </c>
      <c r="C207" s="7" t="inlineStr">
        <is>
          <t>Eavor Lands $8 Million From Alberta To Push Geothermal Deeper - Calgary.Tech</t>
        </is>
      </c>
      <c r="D207" s="7" t="inlineStr">
        <is>
          <t>https://calgary.tech/2026/07/07/eavor-lands-8-million-from-alberta-to-push-geothermal-deeper/</t>
        </is>
      </c>
      <c r="E207" s="7" t="inlineStr">
        <is>
          <t>2026-09-28</t>
        </is>
      </c>
      <c r="F207" s="7" t="inlineStr">
        <is>
          <t>July 8, 2026</t>
        </is>
      </c>
      <c r="G207" s="7" t="inlineStr">
        <is>
          <t>searched, not cited in a cell</t>
        </is>
      </c>
    </row>
    <row r="208">
      <c r="B208" s="6" t="inlineStr">
        <is>
          <t>S203</t>
        </is>
      </c>
      <c r="C208" s="6" t="inlineStr">
        <is>
          <t>Total Raised</t>
        </is>
      </c>
      <c r="D208" s="6" t="inlineStr">
        <is>
          <t>https://www.cbinsights.com/company/eavor-technologies/financials</t>
        </is>
      </c>
      <c r="E208" s="6" t="inlineStr">
        <is>
          <t>2026-09-28</t>
        </is>
      </c>
      <c r="F208" s="6" t="inlineStr"/>
      <c r="G208" s="6" t="inlineStr">
        <is>
          <t>searched, not cited in a cell</t>
        </is>
      </c>
    </row>
    <row r="209">
      <c r="B209" s="7" t="inlineStr">
        <is>
          <t>S204</t>
        </is>
      </c>
      <c r="C209" s="7" t="inlineStr">
        <is>
          <t>Nabors Expands Geothermal Platform With $35M Quaise Investment</t>
        </is>
      </c>
      <c r="D209" s="7" t="inlineStr">
        <is>
          <t>https://finance.yahoo.com/energy/articles/nabors-expands-geothermal-platform-35m-150800476.html</t>
        </is>
      </c>
      <c r="E209" s="7" t="inlineStr">
        <is>
          <t>2026-09-28</t>
        </is>
      </c>
      <c r="F209" s="7" t="inlineStr">
        <is>
          <t>August 28, 2026</t>
        </is>
      </c>
      <c r="G209" s="7" t="inlineStr">
        <is>
          <t>searched, not cited in a cell</t>
        </is>
      </c>
    </row>
    <row r="210">
      <c r="B210" s="6" t="inlineStr">
        <is>
          <t>S205</t>
        </is>
      </c>
      <c r="C210" s="6" t="inlineStr">
        <is>
          <t>Nabors expands geothermal growth platform with US$35 million investment | Energy Global</t>
        </is>
      </c>
      <c r="D210" s="6" t="inlineStr">
        <is>
          <t>https://www.energyglobal.com/other-renewables/28082026/nabors-expands-geothermal-growth-platform-with-us35-million-investment/</t>
        </is>
      </c>
      <c r="E210" s="6" t="inlineStr">
        <is>
          <t>2026-09-28</t>
        </is>
      </c>
      <c r="F210" s="6" t="inlineStr">
        <is>
          <t>August 28, 2026</t>
        </is>
      </c>
      <c r="G210" s="6" t="inlineStr">
        <is>
          <t>'Incumbents'!B10:H10; 'Incumbents'!B11</t>
        </is>
      </c>
    </row>
    <row r="211">
      <c r="B211" s="7" t="inlineStr">
        <is>
          <t>S206</t>
        </is>
      </c>
      <c r="C211" s="7" t="inlineStr">
        <is>
          <t>Nabors becomes largest shareholder in geothermal driller Quaise Energy - Drilling Contractor</t>
        </is>
      </c>
      <c r="D211" s="7" t="inlineStr">
        <is>
          <t>https://drillingcontractor.org/nabors-becomes-largest-shareholder-in-geothermal-driller-quaise-energy-79658</t>
        </is>
      </c>
      <c r="E211" s="7" t="inlineStr">
        <is>
          <t>2026-09-28</t>
        </is>
      </c>
      <c r="F211" s="7" t="inlineStr">
        <is>
          <t>August 28, 2026</t>
        </is>
      </c>
      <c r="G211" s="7" t="inlineStr">
        <is>
          <t>'Landscape'!B8:J8; 'Landscape'!B14; 'Incumbents'!B10:H10; 'Incumbents'!B11</t>
        </is>
      </c>
    </row>
    <row r="212">
      <c r="B212" s="6" t="inlineStr">
        <is>
          <t>S207</t>
        </is>
      </c>
      <c r="C212" s="6" t="inlineStr">
        <is>
          <t>__symbol__ Stock Quote Price and Forecast | CNN</t>
        </is>
      </c>
      <c r="D212" s="6" t="inlineStr">
        <is>
          <t>https://www.cnn.com/markets/stocks/NBR</t>
        </is>
      </c>
      <c r="E212" s="6" t="inlineStr">
        <is>
          <t>2026-09-28</t>
        </is>
      </c>
      <c r="F212" s="6" t="inlineStr">
        <is>
          <t>July 28, 2026</t>
        </is>
      </c>
      <c r="G212" s="6" t="inlineStr">
        <is>
          <t>searched, not cited in a cell</t>
        </is>
      </c>
    </row>
    <row r="213">
      <c r="B213" s="7" t="inlineStr">
        <is>
          <t>S208</t>
        </is>
      </c>
      <c r="C213" s="7" t="inlineStr">
        <is>
          <t>Nabors Expands Geothermal Growth Platform with $35 Million Strategic Investment in Quaise Energy - Aug 27, 2026</t>
        </is>
      </c>
      <c r="D213" s="7" t="inlineStr">
        <is>
          <t>https://investor.nabors.com/2026-08-27-Nabors-Expands-Geothermal-Growth-Platform-with-35-Million-Strategic-Investment-in-Quaise-Energy</t>
        </is>
      </c>
      <c r="E213" s="7" t="inlineStr">
        <is>
          <t>2026-09-28</t>
        </is>
      </c>
      <c r="F213" s="7" t="inlineStr"/>
      <c r="G213" s="7" t="inlineStr">
        <is>
          <t>searched, not cited in a cell</t>
        </is>
      </c>
    </row>
    <row r="214">
      <c r="B214" s="6" t="inlineStr">
        <is>
          <t>S209</t>
        </is>
      </c>
      <c r="C214" s="6" t="inlineStr">
        <is>
          <t>Nabors to invest $35M in geothermal drilling firm Quaise Energy (NBR:NYSE) | Seeking Alpha</t>
        </is>
      </c>
      <c r="D214" s="6" t="inlineStr">
        <is>
          <t>https://seekingalpha.com/news/4637571-nabors-to-invest-35m-in-geothermal-drilling-firm-quaise-energy</t>
        </is>
      </c>
      <c r="E214" s="6" t="inlineStr">
        <is>
          <t>2026-09-28</t>
        </is>
      </c>
      <c r="F214" s="6" t="inlineStr">
        <is>
          <t>August 27, 2026</t>
        </is>
      </c>
      <c r="G214" s="6" t="inlineStr">
        <is>
          <t>searched, not cited in a cell</t>
        </is>
      </c>
    </row>
    <row r="215">
      <c r="B215" s="7" t="inlineStr">
        <is>
          <t>S210</t>
        </is>
      </c>
      <c r="C215" s="7" t="inlineStr">
        <is>
          <t>NABORS INDUSTRIES LTD - Form 8-K - FY2026</t>
        </is>
      </c>
      <c r="D215" s="7" t="inlineStr">
        <is>
          <t>https://www.sec.gov/Archives/edgar/data/0001163739/000110465926101937/tm2622350d4_ex99-1.htm</t>
        </is>
      </c>
      <c r="E215" s="7" t="inlineStr">
        <is>
          <t>2026-09-28</t>
        </is>
      </c>
      <c r="F215" s="7" t="inlineStr"/>
      <c r="G215" s="7" t="inlineStr">
        <is>
          <t>searched, not cited in a cell</t>
        </is>
      </c>
    </row>
    <row r="216">
      <c r="B216" s="6" t="inlineStr">
        <is>
          <t>S211</t>
        </is>
      </c>
      <c r="C216" s="6" t="inlineStr">
        <is>
          <t>NABORS INDUSTRIES LTD - Form 8-K - FY2026</t>
        </is>
      </c>
      <c r="D216" s="6" t="inlineStr">
        <is>
          <t>https://www.sec.gov/Archives/edgar/data/0001163739/000110465926087564/tm2621313d2_ex99-2.htm</t>
        </is>
      </c>
      <c r="E216" s="6" t="inlineStr">
        <is>
          <t>2026-09-28</t>
        </is>
      </c>
      <c r="F216" s="6" t="inlineStr"/>
      <c r="G216" s="6" t="inlineStr">
        <is>
          <t>searched, not cited in a cell</t>
        </is>
      </c>
    </row>
    <row r="217">
      <c r="B217" s="7" t="inlineStr">
        <is>
          <t>S212</t>
        </is>
      </c>
      <c r="C217" s="7" t="inlineStr">
        <is>
          <t>Project InnerSpace | LinkedIn</t>
        </is>
      </c>
      <c r="D217" s="7" t="inlineStr">
        <is>
          <t>https://www.linkedin.com/company/innerspace2030</t>
        </is>
      </c>
      <c r="E217" s="7" t="inlineStr">
        <is>
          <t>2026-09-28</t>
        </is>
      </c>
      <c r="F217" s="7" t="inlineStr">
        <is>
          <t>March 6, 2026</t>
        </is>
      </c>
      <c r="G217" s="7" t="inlineStr">
        <is>
          <t>searched, not cited in a cell</t>
        </is>
      </c>
    </row>
    <row r="218">
      <c r="B218" s="6" t="inlineStr">
        <is>
          <t>S213</t>
        </is>
      </c>
      <c r="C218" s="6" t="inlineStr">
        <is>
          <t>Project InnerSpace highlights geothermal potential in Asia with GeoMap</t>
        </is>
      </c>
      <c r="D218" s="6" t="inlineStr">
        <is>
          <t>https://www.thinkgeoenergy.com/project-innerspace-highlights-geothermal-potential-in-asia-with-geomap/</t>
        </is>
      </c>
      <c r="E218" s="6" t="inlineStr">
        <is>
          <t>2026-09-28</t>
        </is>
      </c>
      <c r="F218" s="6" t="inlineStr">
        <is>
          <t>January 16, 2025</t>
        </is>
      </c>
      <c r="G218" s="6" t="inlineStr">
        <is>
          <t>searched, not cited in a cell</t>
        </is>
      </c>
    </row>
    <row r="219">
      <c r="B219" s="7" t="inlineStr">
        <is>
          <t>S214</t>
        </is>
      </c>
      <c r="C219" s="7" t="inlineStr">
        <is>
          <t>Project InnerSpace's GeoMap</t>
        </is>
      </c>
      <c r="D219" s="7" t="inlineStr">
        <is>
          <t>https://geomap.projectinnerspace.org/map-selection/</t>
        </is>
      </c>
      <c r="E219" s="7" t="inlineStr">
        <is>
          <t>2026-09-28</t>
        </is>
      </c>
      <c r="F219" s="7" t="inlineStr"/>
      <c r="G219" s="7" t="inlineStr">
        <is>
          <t>searched, not cited in a cell</t>
        </is>
      </c>
    </row>
    <row r="220">
      <c r="B220" s="6" t="inlineStr">
        <is>
          <t>S215</t>
        </is>
      </c>
      <c r="C220" s="6" t="inlineStr">
        <is>
          <t>New Coal-Killing Geothermal Energy Anomalies Found In US</t>
        </is>
      </c>
      <c r="D220" s="6" t="inlineStr">
        <is>
          <t>https://cleantechnica.com/2026/01/21/new-coal-killing-geothermal-energy-anomalies-discovered-in-the-us/</t>
        </is>
      </c>
      <c r="E220" s="6" t="inlineStr">
        <is>
          <t>2026-09-28</t>
        </is>
      </c>
      <c r="F220" s="6" t="inlineStr">
        <is>
          <t>January 21, 2026</t>
        </is>
      </c>
      <c r="G220" s="6" t="inlineStr">
        <is>
          <t>searched, not cited in a cell</t>
        </is>
      </c>
    </row>
    <row r="221">
      <c r="B221" s="7" t="inlineStr">
        <is>
          <t>S216</t>
        </is>
      </c>
      <c r="C221" s="7" t="inlineStr">
        <is>
          <t>Advanced Geothermal Energy Is Widely Available, Clean, and Maybe Cheap Enough to Make a Big Impact | Reports &amp; Briefings | May 18, 2026 | ITIF</t>
        </is>
      </c>
      <c r="D221" s="7" t="inlineStr">
        <is>
          <t>https://itif.org/publications/2026/05/18/advanced-geothermal-energy-widely-available-clean-maybe-cheap-enough/</t>
        </is>
      </c>
      <c r="E221" s="7" t="inlineStr">
        <is>
          <t>2026-09-28</t>
        </is>
      </c>
      <c r="F221" s="7" t="inlineStr">
        <is>
          <t>May 18, 2026</t>
        </is>
      </c>
      <c r="G221" s="7" t="inlineStr">
        <is>
          <t>searched, not cited in a cell</t>
        </is>
      </c>
    </row>
    <row r="222">
      <c r="B222" s="6" t="inlineStr">
        <is>
          <t>S217</t>
        </is>
      </c>
      <c r="C222" s="6" t="inlineStr">
        <is>
          <t>Why a $40 million loan to drill wells is good news for geothermal | Latitude Media</t>
        </is>
      </c>
      <c r="D222" s="6" t="inlineStr">
        <is>
          <t>https://www.latitudemedia.com/news/why-a-40-million-loan-to-drill-holes-is-good-news-for-geothermal/</t>
        </is>
      </c>
      <c r="E222" s="6" t="inlineStr">
        <is>
          <t>2026-09-28</t>
        </is>
      </c>
      <c r="F222" s="6" t="inlineStr">
        <is>
          <t>April 24, 2026</t>
        </is>
      </c>
      <c r="G222" s="6" t="inlineStr">
        <is>
          <t>searched, not cited in a cell</t>
        </is>
      </c>
    </row>
    <row r="223">
      <c r="B223" s="7" t="inlineStr">
        <is>
          <t>S218</t>
        </is>
      </c>
      <c r="C223" s="7" t="inlineStr">
        <is>
          <t>Can Zanskar use AI to de-risk conventional geothermal? | Latitude Media</t>
        </is>
      </c>
      <c r="D223" s="7" t="inlineStr">
        <is>
          <t>https://www.latitudemedia.com/news/can-zanskar-use-ai-to-de-risk-conventional-geothermal/</t>
        </is>
      </c>
      <c r="E223" s="7" t="inlineStr">
        <is>
          <t>2026-09-28</t>
        </is>
      </c>
      <c r="F223" s="7" t="inlineStr">
        <is>
          <t>June 9, 2025</t>
        </is>
      </c>
      <c r="G223" s="7" t="inlineStr">
        <is>
          <t>searched, not cited in a cell</t>
        </is>
      </c>
    </row>
    <row r="224">
      <c r="B224" s="6" t="inlineStr">
        <is>
          <t>S219</t>
        </is>
      </c>
      <c r="C224" s="6" t="inlineStr">
        <is>
          <t>Zanskar Geothermal</t>
        </is>
      </c>
      <c r="D224" s="6" t="inlineStr">
        <is>
          <t>https://zanskar.com/</t>
        </is>
      </c>
      <c r="E224" s="6" t="inlineStr">
        <is>
          <t>2026-09-28</t>
        </is>
      </c>
      <c r="F224" s="6" t="inlineStr"/>
      <c r="G224" s="6" t="inlineStr">
        <is>
          <t>'Landscape'!B7:J7; 'Landscape'!B14</t>
        </is>
      </c>
    </row>
    <row r="225">
      <c r="B225" s="7" t="inlineStr">
        <is>
          <t>S220</t>
        </is>
      </c>
      <c r="C225" s="7" t="inlineStr">
        <is>
          <t>How AI is uncovering hidden geothermal energy resources | MIT Technology Review</t>
        </is>
      </c>
      <c r="D225" s="7" t="inlineStr">
        <is>
          <t>https://www.technologyreview.com/2025/12/04/1128763/ai-geothermal-zanskar/</t>
        </is>
      </c>
      <c r="E225" s="7" t="inlineStr">
        <is>
          <t>2026-09-28</t>
        </is>
      </c>
      <c r="F225" s="7" t="inlineStr">
        <is>
          <t>December 4, 2025</t>
        </is>
      </c>
      <c r="G225" s="7" t="inlineStr">
        <is>
          <t>searched, not cited in a cell</t>
        </is>
      </c>
    </row>
    <row r="226">
      <c r="B226" s="6" t="inlineStr">
        <is>
          <t>S221</t>
        </is>
      </c>
      <c r="C226" s="6" t="inlineStr">
        <is>
          <t>NEPA — Department of the Interior – Environmental and Energy Law Program</t>
        </is>
      </c>
      <c r="D226" s="6" t="inlineStr">
        <is>
          <t>https://eelp.law.harvard.edu/tracker/nepa-department-of-the-interior/</t>
        </is>
      </c>
      <c r="E226" s="6" t="inlineStr">
        <is>
          <t>2026-09-28</t>
        </is>
      </c>
      <c r="F226" s="6" t="inlineStr"/>
      <c r="G226" s="6" t="inlineStr">
        <is>
          <t>searched, not cited in a cell</t>
        </is>
      </c>
    </row>
    <row r="227">
      <c r="B227" s="7" t="inlineStr">
        <is>
          <t>S222</t>
        </is>
      </c>
      <c r="C227" s="7" t="inlineStr">
        <is>
          <t>BLM streamlines permitting for small-scale geothermal exploration</t>
        </is>
      </c>
      <c r="D227" s="7" t="inlineStr">
        <is>
          <t>https://www.thinkgeoenergy.com/blm-streamlines-permitting-for-small-scale-geothermal-exploration/</t>
        </is>
      </c>
      <c r="E227" s="7" t="inlineStr">
        <is>
          <t>2026-09-28</t>
        </is>
      </c>
      <c r="F227" s="7" t="inlineStr">
        <is>
          <t>April 29, 2026</t>
        </is>
      </c>
      <c r="G227" s="7" t="inlineStr">
        <is>
          <t>searched, not cited in a cell</t>
        </is>
      </c>
    </row>
    <row r="228">
      <c r="B228" s="6" t="inlineStr">
        <is>
          <t>S223</t>
        </is>
      </c>
      <c r="C228" s="6" t="inlineStr">
        <is>
          <t>Thoughtful permitting reform can help expand next-generation geothermal – Clean Air Task Force</t>
        </is>
      </c>
      <c r="D228" s="6" t="inlineStr">
        <is>
          <t>https://www.catf.us/2025/12/thoughtful-permitting-reform-can-help-expand-next-generation-geothermal/</t>
        </is>
      </c>
      <c r="E228" s="6" t="inlineStr">
        <is>
          <t>2026-09-28</t>
        </is>
      </c>
      <c r="F228" s="6" t="inlineStr">
        <is>
          <t>December 16, 2025</t>
        </is>
      </c>
      <c r="G228" s="6" t="inlineStr">
        <is>
          <t>searched, not cited in a cell</t>
        </is>
      </c>
    </row>
    <row r="229">
      <c r="B229" s="7" t="inlineStr">
        <is>
          <t>S224</t>
        </is>
      </c>
      <c r="C229" s="7" t="inlineStr">
        <is>
          <t>New categorical exclusion to facilitate permitting of geothermal projects in the US</t>
        </is>
      </c>
      <c r="D229" s="7" t="inlineStr">
        <is>
          <t>https://www.thinkgeoenergy.com/new-categorical-exclusion-to-facilitate-permitting-of-geothermal-projects-in-the-us/</t>
        </is>
      </c>
      <c r="E229" s="7" t="inlineStr">
        <is>
          <t>2026-09-28</t>
        </is>
      </c>
      <c r="F229" s="7" t="inlineStr">
        <is>
          <t>January 17, 2025</t>
        </is>
      </c>
      <c r="G229" s="7" t="inlineStr">
        <is>
          <t>searched, not cited in a cell</t>
        </is>
      </c>
    </row>
    <row r="230">
      <c r="B230" s="6" t="inlineStr">
        <is>
          <t>S225</t>
        </is>
      </c>
      <c r="C230" s="6" t="inlineStr">
        <is>
          <t>BLM adopts categorical exclusions to expedite geothermal energy permitting | Bureau of Land Management</t>
        </is>
      </c>
      <c r="D230" s="6" t="inlineStr">
        <is>
          <t>https://www.blm.gov/press-release/blm-adopts-categorical-exclusions-expedite-geothermal-energy-permitting</t>
        </is>
      </c>
      <c r="E230" s="6" t="inlineStr">
        <is>
          <t>2026-09-28</t>
        </is>
      </c>
      <c r="F230" s="6" t="inlineStr">
        <is>
          <t>April 15, 2024</t>
        </is>
      </c>
      <c r="G230" s="6" t="inlineStr">
        <is>
          <t>searched, not cited in a cell</t>
        </is>
      </c>
    </row>
    <row r="231">
      <c r="B231" s="7" t="inlineStr">
        <is>
          <t>S226</t>
        </is>
      </c>
      <c r="C231" s="7" t="inlineStr">
        <is>
          <t>A Clear Path for Geothermal Permitting: Cutting Delays, Driving Deployment</t>
        </is>
      </c>
      <c r="D231" s="7" t="inlineStr">
        <is>
          <t>https://www.congress.gov/119/meeting/house/118743/documents/HHRG-119-II06-20251216-SD006.pdf</t>
        </is>
      </c>
      <c r="E231" s="7" t="inlineStr">
        <is>
          <t>2026-09-28</t>
        </is>
      </c>
      <c r="F231" s="7" t="inlineStr"/>
      <c r="G231" s="7" t="inlineStr">
        <is>
          <t>searched, not cited in a cell</t>
        </is>
      </c>
    </row>
    <row r="232">
      <c r="B232" s="6" t="inlineStr">
        <is>
          <t>S227</t>
        </is>
      </c>
      <c r="C232" s="6" t="inlineStr">
        <is>
          <t>Federal Register :: National Environmental Policy Act Implementing Procedures for the Bureau of Land Management</t>
        </is>
      </c>
      <c r="D232" s="6" t="inlineStr">
        <is>
          <t>https://www.federalregister.gov/documents/2026/04/28/2026-08235/national-environmental-policy-act-implementing-procedures-for-the-bureau-of-land-management</t>
        </is>
      </c>
      <c r="E232" s="6" t="inlineStr">
        <is>
          <t>2026-09-28</t>
        </is>
      </c>
      <c r="F232" s="6" t="inlineStr">
        <is>
          <t>April 28, 2026</t>
        </is>
      </c>
      <c r="G232" s="6" t="inlineStr">
        <is>
          <t>searched, not cited in a cell</t>
        </is>
      </c>
    </row>
    <row r="233">
      <c r="B233" s="7" t="inlineStr">
        <is>
          <t>S228</t>
        </is>
      </c>
      <c r="C233" s="7" t="inlineStr">
        <is>
          <t>Federal Register :: National Environmental Policy Act Implementing Procedures for the Bureau of Land Management (516 DM 11)</t>
        </is>
      </c>
      <c r="D233" s="7" t="inlineStr">
        <is>
          <t>https://www.federalregister.gov/documents/2025/01/17/2025-01084/national-environmental-policy-act-implementing-procedures-for-the-bureau-of-land-management-516-dm</t>
        </is>
      </c>
      <c r="E233" s="7" t="inlineStr">
        <is>
          <t>2026-09-28</t>
        </is>
      </c>
      <c r="F233" s="7" t="inlineStr">
        <is>
          <t>January 17, 2025</t>
        </is>
      </c>
      <c r="G233" s="7" t="inlineStr">
        <is>
          <t>searched, not cited in a cell</t>
        </is>
      </c>
    </row>
    <row r="234">
      <c r="B234" s="6" t="inlineStr">
        <is>
          <t>S229</t>
        </is>
      </c>
      <c r="C234" s="6" t="inlineStr">
        <is>
          <t>BLM takes steps to accelerate geothermal energy development | Bureau of Land Management</t>
        </is>
      </c>
      <c r="D234" s="6" t="inlineStr">
        <is>
          <t>https://www.blm.gov/announcement/blm-takes-steps-accelerate-geothermal-energy-development</t>
        </is>
      </c>
      <c r="E234" s="6" t="inlineStr">
        <is>
          <t>2026-09-28</t>
        </is>
      </c>
      <c r="F234" s="6" t="inlineStr">
        <is>
          <t>January 16, 2025</t>
        </is>
      </c>
      <c r="G234" s="6" t="inlineStr">
        <is>
          <t>searched, not cited in a cell</t>
        </is>
      </c>
    </row>
    <row r="235">
      <c r="B235" s="7" t="inlineStr">
        <is>
          <t>S230</t>
        </is>
      </c>
      <c r="C235" s="7" t="inlineStr">
        <is>
          <t>Biden-Harris Administration Takes Major Steps to Accelerate Clean Energy Geothermal Development on Public Lands | U.S. Department of the Interior</t>
        </is>
      </c>
      <c r="D235" s="7" t="inlineStr">
        <is>
          <t>https://www.doi.gov/pressreleases/biden-harris-administration-takes-major-steps-accelerate-clean-energy-geothermal</t>
        </is>
      </c>
      <c r="E235" s="7" t="inlineStr">
        <is>
          <t>2026-09-28</t>
        </is>
      </c>
      <c r="F235" s="7" t="inlineStr">
        <is>
          <t>October 17, 2024</t>
        </is>
      </c>
      <c r="G235" s="7" t="inlineStr">
        <is>
          <t>searched, not cited in a cell</t>
        </is>
      </c>
    </row>
    <row r="236">
      <c r="B236" s="6" t="inlineStr">
        <is>
          <t>S231</t>
        </is>
      </c>
      <c r="C236" s="6" t="inlineStr">
        <is>
          <t>Geothermal Energy Survives Trump's "Big Beautiful Bill" - IEEE Spectrum</t>
        </is>
      </c>
      <c r="D236" s="6" t="inlineStr">
        <is>
          <t>https://spectrum.ieee.org/geothermal-energy-big-beautiful-bill</t>
        </is>
      </c>
      <c r="E236" s="6" t="inlineStr">
        <is>
          <t>2026-09-28</t>
        </is>
      </c>
      <c r="F236" s="6" t="inlineStr">
        <is>
          <t>July 28, 2025</t>
        </is>
      </c>
      <c r="G236" s="6" t="inlineStr">
        <is>
          <t>searched, not cited in a cell</t>
        </is>
      </c>
    </row>
    <row r="237">
      <c r="B237" s="7" t="inlineStr">
        <is>
          <t>S232</t>
        </is>
      </c>
      <c r="C237" s="7" t="inlineStr">
        <is>
          <t>Energy Policy | Geothermal Rising :: Using the Earth to Save the Earth</t>
        </is>
      </c>
      <c r="D237" s="7" t="inlineStr">
        <is>
          <t>https://geothermal.org/taxonomy/term/62</t>
        </is>
      </c>
      <c r="E237" s="7" t="inlineStr">
        <is>
          <t>2026-09-28</t>
        </is>
      </c>
      <c r="F237" s="7" t="inlineStr"/>
      <c r="G237" s="7" t="inlineStr">
        <is>
          <t>searched, not cited in a cell</t>
        </is>
      </c>
    </row>
    <row r="238">
      <c r="B238" s="6" t="inlineStr">
        <is>
          <t>S233</t>
        </is>
      </c>
      <c r="C238" s="6" t="inlineStr">
        <is>
          <t>Geothermal survives in 'big, beautiful' budget bill —… | Canary Media</t>
        </is>
      </c>
      <c r="D238" s="6" t="inlineStr">
        <is>
          <t>https://www.canarymedia.com/articles/geothermal/enhanced-trump-bill-tax-credits</t>
        </is>
      </c>
      <c r="E238" s="6" t="inlineStr">
        <is>
          <t>2026-09-28</t>
        </is>
      </c>
      <c r="F238" s="6" t="inlineStr">
        <is>
          <t>July 9, 2025</t>
        </is>
      </c>
      <c r="G238" s="6" t="inlineStr">
        <is>
          <t>searched, not cited in a cell</t>
        </is>
      </c>
    </row>
    <row r="239">
      <c r="B239" s="7" t="inlineStr">
        <is>
          <t>S234</t>
        </is>
      </c>
      <c r="C239" s="7" t="inlineStr">
        <is>
          <t>Impact of “One Big Beautiful Bill” on Clean Energy Tax Credits: Chapman and Cutler LLP</t>
        </is>
      </c>
      <c r="D239" s="7" t="inlineStr">
        <is>
          <t>https://www.chapman.com/publication-impact-of-one-big-beautiful-bill-on-clean-energy-tax-credits</t>
        </is>
      </c>
      <c r="E239" s="7" t="inlineStr">
        <is>
          <t>2026-09-28</t>
        </is>
      </c>
      <c r="F239" s="7" t="inlineStr"/>
      <c r="G239" s="7" t="inlineStr">
        <is>
          <t>searched, not cited in a cell</t>
        </is>
      </c>
    </row>
    <row r="240">
      <c r="B240" s="6" t="inlineStr">
        <is>
          <t>S235</t>
        </is>
      </c>
      <c r="C240" s="6" t="inlineStr">
        <is>
          <t>“One Big Beautiful Bill Act” Brings Big Changes to Green Energy Tax Credits | Publications | Kirkland &amp; Ellis LLP</t>
        </is>
      </c>
      <c r="D240" s="6" t="inlineStr">
        <is>
          <t>https://www.kirkland.com/publications/kirkland-alert/2025/08/one-big-beautiful-bill-act-brings-big-changes-to-green-energy-tax-credits</t>
        </is>
      </c>
      <c r="E240" s="6" t="inlineStr">
        <is>
          <t>2026-09-28</t>
        </is>
      </c>
      <c r="F240" s="6" t="inlineStr"/>
      <c r="G240" s="6" t="inlineStr">
        <is>
          <t>searched, not cited in a cell</t>
        </is>
      </c>
    </row>
    <row r="241">
      <c r="B241" s="7" t="inlineStr">
        <is>
          <t>S236</t>
        </is>
      </c>
      <c r="C241" s="7" t="inlineStr">
        <is>
          <t>Effects Of "One Big Beautiful Bill" On Projects</t>
        </is>
      </c>
      <c r="D241" s="7" t="inlineStr">
        <is>
          <t>https://www.projectfinance.law/publications/effects-of-one-big-beautiful-bill-on-projects</t>
        </is>
      </c>
      <c r="E241" s="7" t="inlineStr">
        <is>
          <t>2026-09-28</t>
        </is>
      </c>
      <c r="F241" s="7" t="inlineStr">
        <is>
          <t>May 14, 2026</t>
        </is>
      </c>
      <c r="G241" s="7" t="inlineStr">
        <is>
          <t>searched, not cited in a cell</t>
        </is>
      </c>
    </row>
    <row r="242">
      <c r="B242" s="6" t="inlineStr">
        <is>
          <t>S237</t>
        </is>
      </c>
      <c r="C242" s="6" t="inlineStr">
        <is>
          <t>Congress Phases Out Energy Tax Credits | Pierce Atwood</t>
        </is>
      </c>
      <c r="D242" s="6" t="inlineStr">
        <is>
          <t>https://www.pierceatwood.com/alerts/congress-phases-out-energy-tax-credits</t>
        </is>
      </c>
      <c r="E242" s="6" t="inlineStr">
        <is>
          <t>2026-09-28</t>
        </is>
      </c>
      <c r="F242" s="6" t="inlineStr"/>
      <c r="G242" s="6" t="inlineStr">
        <is>
          <t>searched, not cited in a cell</t>
        </is>
      </c>
    </row>
    <row r="243">
      <c r="B243" s="7" t="inlineStr">
        <is>
          <t>S238</t>
        </is>
      </c>
      <c r="C243" s="7" t="inlineStr">
        <is>
          <t>Geothermal heat pump systems tax incentives | Our Insights | Plante Moran</t>
        </is>
      </c>
      <c r="D243" s="7" t="inlineStr">
        <is>
          <t>https://www.plantemoran.com/explore-our-thinking/insight/2026/02/geothermal-heat-pump-systems-tax-incentives</t>
        </is>
      </c>
      <c r="E243" s="7" t="inlineStr">
        <is>
          <t>2026-09-28</t>
        </is>
      </c>
      <c r="F243" s="7" t="inlineStr">
        <is>
          <t>February 27, 2026</t>
        </is>
      </c>
      <c r="G243" s="7" t="inlineStr">
        <is>
          <t>searched, not cited in a cell</t>
        </is>
      </c>
    </row>
    <row r="244">
      <c r="B244" s="6" t="inlineStr">
        <is>
          <t>S239</t>
        </is>
      </c>
      <c r="C244" s="6" t="inlineStr">
        <is>
          <t>Geothermal Energy Tax Incentives for Home and Business - LegalClarity</t>
        </is>
      </c>
      <c r="D244" s="6" t="inlineStr">
        <is>
          <t>https://legalclarity.org/geothermal-energy-tax-incentives-for-home-and-business/</t>
        </is>
      </c>
      <c r="E244" s="6" t="inlineStr">
        <is>
          <t>2026-09-28</t>
        </is>
      </c>
      <c r="F244" s="6" t="inlineStr">
        <is>
          <t>May 12, 2026</t>
        </is>
      </c>
      <c r="G244" s="6" t="inlineStr">
        <is>
          <t>searched, not cited in a cell</t>
        </is>
      </c>
    </row>
    <row r="245">
      <c r="B245" s="7" t="inlineStr">
        <is>
          <t>S240</t>
        </is>
      </c>
      <c r="C245" s="7" t="inlineStr">
        <is>
          <t>Private Investors Back Zanskar’s Mission to Harness Hidden Geothermal Resources with AI Technology | Energy Tech</t>
        </is>
      </c>
      <c r="D245" s="7" t="inlineStr">
        <is>
          <t>https://www.energytech.com/renewables/article/55352060/private-investors-back-zanskars-mission-to-harness-hidden-geothermal-resources-with-ai-technology</t>
        </is>
      </c>
      <c r="E245" s="7" t="inlineStr">
        <is>
          <t>2026-09-28</t>
        </is>
      </c>
      <c r="F245" s="7" t="inlineStr"/>
      <c r="G245" s="7" t="inlineStr">
        <is>
          <t>searched, not cited in a cell</t>
        </is>
      </c>
    </row>
    <row r="246">
      <c r="B246" s="6" t="inlineStr">
        <is>
          <t>S241</t>
        </is>
      </c>
      <c r="C246" s="6" t="inlineStr">
        <is>
          <t>Zanskar's AI Uncovers Hidden Geothermal Energy, Secures $115M Funding - News and Statistics - IndexBox</t>
        </is>
      </c>
      <c r="D246" s="6" t="inlineStr">
        <is>
          <t>https://www.indexbox.io/blog/zanskar-raises-115m-for-ai-driven-geothermal-exploration/</t>
        </is>
      </c>
      <c r="E246" s="6" t="inlineStr">
        <is>
          <t>2026-09-28</t>
        </is>
      </c>
      <c r="F246" s="6" t="inlineStr">
        <is>
          <t>January 21, 2026</t>
        </is>
      </c>
      <c r="G246" s="6" t="inlineStr">
        <is>
          <t>searched, not cited in a cell</t>
        </is>
      </c>
    </row>
    <row r="247">
      <c r="B247" s="7" t="inlineStr">
        <is>
          <t>S242</t>
        </is>
      </c>
      <c r="C247" s="7" t="inlineStr">
        <is>
          <t>Zanskar Raises $115 Million to Scale AI-Driven Geothermal Discovery and Power Plant Development – ESG Investing</t>
        </is>
      </c>
      <c r="D247" s="7" t="inlineStr">
        <is>
          <t>https://esg-investing.com/2026/01/23/zanskar-raises-115-million-to-scale-ai-driven-geothermal-discovery-and-power-plant-development/</t>
        </is>
      </c>
      <c r="E247" s="7" t="inlineStr">
        <is>
          <t>2026-09-28</t>
        </is>
      </c>
      <c r="F247" s="7" t="inlineStr"/>
      <c r="G247" s="7" t="inlineStr">
        <is>
          <t>searched, not cited in a cell</t>
        </is>
      </c>
    </row>
    <row r="248">
      <c r="B248" s="6" t="inlineStr">
        <is>
          <t>E1</t>
        </is>
      </c>
      <c r="C248" s="6" t="inlineStr">
        <is>
          <t>ERW list_tables</t>
        </is>
      </c>
      <c r="D248" s="6" t="inlineStr">
        <is>
          <t>https://github.com/SamuelEnrique/erw (list_tables)</t>
        </is>
      </c>
      <c r="E248" s="6" t="inlineStr">
        <is>
          <t>2026-09-28</t>
        </is>
      </c>
      <c r="F248" s="6" t="inlineStr"/>
      <c r="G248" s="6" t="inlineStr">
        <is>
          <t>queried, not cited in a cell</t>
        </is>
      </c>
    </row>
    <row r="249">
      <c r="B249" s="7" t="inlineStr">
        <is>
          <t>E2</t>
        </is>
      </c>
      <c r="C249" s="7" t="inlineStr">
        <is>
          <t>ERW list_tables</t>
        </is>
      </c>
      <c r="D249" s="7" t="inlineStr">
        <is>
          <t>https://github.com/SamuelEnrique/erw (list_tables)</t>
        </is>
      </c>
      <c r="E249" s="7" t="inlineStr">
        <is>
          <t>2026-09-28</t>
        </is>
      </c>
      <c r="F249" s="7" t="inlineStr"/>
      <c r="G249" s="7" t="inlineStr">
        <is>
          <t>queried, not cited in a cell</t>
        </is>
      </c>
    </row>
    <row r="250">
      <c r="B250" s="6" t="inlineStr">
        <is>
          <t>E3</t>
        </is>
      </c>
      <c r="C250" s="6" t="inlineStr">
        <is>
          <t>ERW describe_table eia860m_operating_generators</t>
        </is>
      </c>
      <c r="D250" s="6" t="inlineStr">
        <is>
          <t>https://github.com/SamuelEnrique/erw (eia860m_operating_generators)</t>
        </is>
      </c>
      <c r="E250" s="6" t="inlineStr">
        <is>
          <t>2026-09-28</t>
        </is>
      </c>
      <c r="F250" s="6" t="inlineStr"/>
      <c r="G250" s="6" t="inlineStr">
        <is>
          <t>queried, not cited in a cell</t>
        </is>
      </c>
    </row>
    <row r="251">
      <c r="B251" s="7" t="inlineStr">
        <is>
          <t>E4</t>
        </is>
      </c>
      <c r="C251" s="7" t="inlineStr">
        <is>
          <t>ERW describe_table energy_deals</t>
        </is>
      </c>
      <c r="D251" s="7" t="inlineStr">
        <is>
          <t>https://github.com/SamuelEnrique/erw (energy_deals)</t>
        </is>
      </c>
      <c r="E251" s="7" t="inlineStr">
        <is>
          <t>2026-09-28</t>
        </is>
      </c>
      <c r="F251" s="7" t="inlineStr"/>
      <c r="G251" s="7" t="inlineStr">
        <is>
          <t>queried, not cited in a cell</t>
        </is>
      </c>
    </row>
    <row r="252">
      <c r="B252" s="6" t="inlineStr">
        <is>
          <t>E5</t>
        </is>
      </c>
      <c r="C252" s="6" t="inlineStr">
        <is>
          <t>ERW describe_table energy_companies</t>
        </is>
      </c>
      <c r="D252" s="6" t="inlineStr">
        <is>
          <t>https://github.com/SamuelEnrique/erw (energy_companies)</t>
        </is>
      </c>
      <c r="E252" s="6" t="inlineStr">
        <is>
          <t>2026-09-28</t>
        </is>
      </c>
      <c r="F252" s="6" t="inlineStr"/>
      <c r="G252" s="6" t="inlineStr">
        <is>
          <t>'Scope'!B10:C10; 'Scope'!B15; 'Landscape'!B7:J7; 'Landscape'!B8:J8; 'Landscape'!B9:J9; 'Landscape'!B10:J10; 'Landscape'!B11:J11; 'Landscape'!B13:J13; 'Landscape'!B14</t>
        </is>
      </c>
    </row>
    <row r="253">
      <c r="B253" s="7" t="inlineStr">
        <is>
          <t>E6</t>
        </is>
      </c>
      <c r="C253" s="7" t="inlineStr">
        <is>
          <t>ERW query eia860m_operating_generators</t>
        </is>
      </c>
      <c r="D253" s="7" t="inlineStr">
        <is>
          <t>https://github.com/SamuelEnrique/erw (eia860m_operating_generators)</t>
        </is>
      </c>
      <c r="E253" s="7" t="inlineStr">
        <is>
          <t>2026-09-28</t>
        </is>
      </c>
      <c r="F253" s="7" t="inlineStr"/>
      <c r="G253" s="7" t="inlineStr">
        <is>
          <t>'Scope'!B13:C13; 'Scope'!B15; 'Fundamentals'!B8:F8; 'Fundamentals'!B9:F9; 'Fundamentals'!B11:F11; 'Fundamentals'!B23; 'Trends'!B7:D7; 'Trends'!B8:D8; 'Trends'!B9:D9; 'Trends'!B10:D10; 'Trends'!B11:D11; 'Trends'!B12:D12; 'Trends'!B13:D13; 'Trends'!B29</t>
        </is>
      </c>
    </row>
    <row r="254">
      <c r="B254" s="6" t="inlineStr">
        <is>
          <t>E7</t>
        </is>
      </c>
      <c r="C254" s="6" t="inlineStr">
        <is>
          <t>ERW query eia860m_operating_generators</t>
        </is>
      </c>
      <c r="D254" s="6" t="inlineStr">
        <is>
          <t>https://github.com/SamuelEnrique/erw (eia860m_operating_generators)</t>
        </is>
      </c>
      <c r="E254" s="6" t="inlineStr">
        <is>
          <t>2026-09-28</t>
        </is>
      </c>
      <c r="F254" s="6" t="inlineStr"/>
      <c r="G254" s="6" t="inlineStr">
        <is>
          <t>'Fundamentals'!B10:F10; 'Fundamentals'!B23; 'Trends'!B7:D7; 'Trends'!B8:D8; 'Trends'!B9:D9; 'Trends'!B10:D10; 'Trends'!B11:D11; 'Trends'!B12:D12; 'Trends'!B13:D13; 'Trends'!B29</t>
        </is>
      </c>
    </row>
    <row r="255">
      <c r="B255" s="7" t="inlineStr">
        <is>
          <t>E8</t>
        </is>
      </c>
      <c r="C255" s="7" t="inlineStr">
        <is>
          <t>ERW query eia860m_planned_generators</t>
        </is>
      </c>
      <c r="D255" s="7" t="inlineStr">
        <is>
          <t>https://github.com/SamuelEnrique/erw (eia860m_planned_generators)</t>
        </is>
      </c>
      <c r="E255" s="7" t="inlineStr">
        <is>
          <t>2026-09-28</t>
        </is>
      </c>
      <c r="F255" s="7" t="inlineStr"/>
      <c r="G255" s="7" t="inlineStr">
        <is>
          <t>'Scope'!B13:C13; 'Scope'!B15; 'Fundamentals'!B12:F12; 'Fundamentals'!B23; 'Risks'!B32</t>
        </is>
      </c>
    </row>
    <row r="256">
      <c r="B256" s="6" t="inlineStr">
        <is>
          <t>E9</t>
        </is>
      </c>
      <c r="C256" s="6" t="inlineStr">
        <is>
          <t>ERW query energy_deals</t>
        </is>
      </c>
      <c r="D256" s="6" t="inlineStr">
        <is>
          <t>https://github.com/SamuelEnrique/erw (energy_deals)</t>
        </is>
      </c>
      <c r="E256" s="6" t="inlineStr">
        <is>
          <t>2026-09-28</t>
        </is>
      </c>
      <c r="F256" s="6" t="inlineStr"/>
      <c r="G256" s="6" t="inlineStr">
        <is>
          <t>'Trends'!B60:F60; 'Trends'!B61:F61; 'Trends'!B62:F62; 'Trends'!B63:F63; 'Trends'!B64:F64; 'Trends'!B65:F65; 'Trends'!B66</t>
        </is>
      </c>
    </row>
    <row r="257">
      <c r="B257" s="7" t="inlineStr">
        <is>
          <t>E10</t>
        </is>
      </c>
      <c r="C257" s="7" t="inlineStr">
        <is>
          <t>ERW query energy_companies</t>
        </is>
      </c>
      <c r="D257" s="7" t="inlineStr">
        <is>
          <t>https://github.com/SamuelEnrique/erw (energy_companies)</t>
        </is>
      </c>
      <c r="E257" s="7" t="inlineStr">
        <is>
          <t>2026-09-28</t>
        </is>
      </c>
      <c r="F257" s="7" t="inlineStr"/>
      <c r="G257" s="7" t="inlineStr">
        <is>
          <t>queried, not cited in a cell</t>
        </is>
      </c>
    </row>
    <row r="258">
      <c r="B258" s="6" t="inlineStr">
        <is>
          <t>E11</t>
        </is>
      </c>
      <c r="C258" s="6" t="inlineStr">
        <is>
          <t>ERW query energy_companies</t>
        </is>
      </c>
      <c r="D258" s="6" t="inlineStr">
        <is>
          <t>https://github.com/SamuelEnrique/erw (energy_companies)</t>
        </is>
      </c>
      <c r="E258" s="6" t="inlineStr">
        <is>
          <t>2026-09-28</t>
        </is>
      </c>
      <c r="F258" s="6" t="inlineStr"/>
      <c r="G258" s="6" t="inlineStr">
        <is>
          <t>'Fundamentals'!B7:F7; 'Fundamentals'!B22:F22; 'Fundamentals'!B23</t>
        </is>
      </c>
    </row>
    <row r="259">
      <c r="B259" s="7" t="inlineStr">
        <is>
          <t>E12</t>
        </is>
      </c>
      <c r="C259" s="7" t="inlineStr">
        <is>
          <t>ERW query energy_deals</t>
        </is>
      </c>
      <c r="D259" s="7" t="inlineStr">
        <is>
          <t>https://github.com/SamuelEnrique/erw (energy_deals)</t>
        </is>
      </c>
      <c r="E259" s="7" t="inlineStr">
        <is>
          <t>2026-09-28</t>
        </is>
      </c>
      <c r="F259" s="7" t="inlineStr"/>
      <c r="G259" s="7" t="inlineStr">
        <is>
          <t>'Trends'!B60:F60; 'Trends'!B61:F61; 'Trends'!B62:F62; 'Trends'!B63:F63; 'Trends'!B64:F64; 'Trends'!B65:F65; 'Trends'!B66</t>
        </is>
      </c>
    </row>
    <row r="260">
      <c r="B260" s="6" t="inlineStr">
        <is>
          <t>E13</t>
        </is>
      </c>
      <c r="C260" s="6" t="inlineStr">
        <is>
          <t>ERW list_tables</t>
        </is>
      </c>
      <c r="D260" s="6" t="inlineStr">
        <is>
          <t>https://github.com/SamuelEnrique/erw (list_tables)</t>
        </is>
      </c>
      <c r="E260" s="6" t="inlineStr">
        <is>
          <t>2026-09-28</t>
        </is>
      </c>
      <c r="F260" s="6" t="inlineStr"/>
      <c r="G260" s="6" t="inlineStr">
        <is>
          <t>queried, not cited in a cell</t>
        </is>
      </c>
    </row>
    <row r="261">
      <c r="B261" s="7" t="inlineStr">
        <is>
          <t>E14</t>
        </is>
      </c>
      <c r="C261" s="7" t="inlineStr">
        <is>
          <t>ERW list_tables</t>
        </is>
      </c>
      <c r="D261" s="7" t="inlineStr">
        <is>
          <t>https://github.com/SamuelEnrique/erw (list_tables)</t>
        </is>
      </c>
      <c r="E261" s="7" t="inlineStr">
        <is>
          <t>2026-09-28</t>
        </is>
      </c>
      <c r="F261" s="7" t="inlineStr"/>
      <c r="G261" s="7" t="inlineStr">
        <is>
          <t>queried, not cited in a cell</t>
        </is>
      </c>
    </row>
    <row r="262">
      <c r="B262" s="6" t="inlineStr">
        <is>
          <t>E15</t>
        </is>
      </c>
      <c r="C262" s="6" t="inlineStr">
        <is>
          <t>ERW query energy_companies</t>
        </is>
      </c>
      <c r="D262" s="6" t="inlineStr">
        <is>
          <t>https://github.com/SamuelEnrique/erw (energy_companies)</t>
        </is>
      </c>
      <c r="E262" s="6" t="inlineStr">
        <is>
          <t>2026-09-28</t>
        </is>
      </c>
      <c r="F262" s="6" t="inlineStr"/>
      <c r="G262" s="6" t="inlineStr">
        <is>
          <t>'Scope'!B6; 'Fundamentals'!B7:F7; 'Fundamentals'!B23; 'Risks'!B7</t>
        </is>
      </c>
    </row>
    <row r="263">
      <c r="B263" s="7" t="inlineStr">
        <is>
          <t>E16</t>
        </is>
      </c>
      <c r="C263" s="7" t="inlineStr">
        <is>
          <t>ERW query policy_actions</t>
        </is>
      </c>
      <c r="D263" s="7" t="inlineStr">
        <is>
          <t>https://github.com/SamuelEnrique/erw (policy_actions)</t>
        </is>
      </c>
      <c r="E263" s="7" t="inlineStr">
        <is>
          <t>2026-09-28</t>
        </is>
      </c>
      <c r="F263" s="7" t="inlineStr"/>
      <c r="G263" s="7" t="inlineStr">
        <is>
          <t>queried, not cited in a cell</t>
        </is>
      </c>
    </row>
    <row r="264">
      <c r="B264" s="6" t="inlineStr">
        <is>
          <t>E17</t>
        </is>
      </c>
      <c r="C264" s="6" t="inlineStr">
        <is>
          <t>ERW describe_table policy_actions</t>
        </is>
      </c>
      <c r="D264" s="6" t="inlineStr">
        <is>
          <t>https://github.com/SamuelEnrique/erw (policy_actions)</t>
        </is>
      </c>
      <c r="E264" s="6" t="inlineStr">
        <is>
          <t>2026-09-28</t>
        </is>
      </c>
      <c r="F264" s="6" t="inlineStr"/>
      <c r="G264" s="6" t="inlineStr">
        <is>
          <t>queried, not cited in a cell</t>
        </is>
      </c>
    </row>
    <row r="265">
      <c r="B265" s="7" t="inlineStr">
        <is>
          <t>E18</t>
        </is>
      </c>
      <c r="C265" s="7" t="inlineStr">
        <is>
          <t>ERW query energy_companies</t>
        </is>
      </c>
      <c r="D265" s="7" t="inlineStr">
        <is>
          <t>https://github.com/SamuelEnrique/erw (energy_companies)</t>
        </is>
      </c>
      <c r="E265" s="7" t="inlineStr">
        <is>
          <t>2026-09-28</t>
        </is>
      </c>
      <c r="F265" s="7" t="inlineStr"/>
      <c r="G265" s="7" t="inlineStr">
        <is>
          <t>'Scope'!B6; 'Scope'!B11:C11; 'Scope'!B12:C12; 'Scope'!B15; 'Fundamentals'!B23; 'Landscape'!B7:J7; 'Landscape'!B11:J11; 'Landscape'!B12:J12; 'Landscape'!B14; 'Risks'!B7</t>
        </is>
      </c>
    </row>
    <row r="266">
      <c r="B266" s="6" t="inlineStr">
        <is>
          <t>E19</t>
        </is>
      </c>
      <c r="C266" s="6" t="inlineStr">
        <is>
          <t>ERW query energy_companies</t>
        </is>
      </c>
      <c r="D266" s="6" t="inlineStr">
        <is>
          <t>https://github.com/SamuelEnrique/erw (energy_companies)</t>
        </is>
      </c>
      <c r="E266" s="6" t="inlineStr">
        <is>
          <t>2026-09-28</t>
        </is>
      </c>
      <c r="F266" s="6" t="inlineStr"/>
      <c r="G266" s="6" t="inlineStr">
        <is>
          <t>'Landscape'!B7:J7; 'Landscape'!B8:J8; 'Landscape'!B9:J9; 'Landscape'!B11:J11; 'Landscape'!B12:J12; 'Landscape'!B13:J13; 'Landscape'!B14</t>
        </is>
      </c>
    </row>
    <row r="267">
      <c r="B267" s="7" t="inlineStr">
        <is>
          <t>E20</t>
        </is>
      </c>
      <c r="C267" s="7" t="inlineStr">
        <is>
          <t>ERW list_tables</t>
        </is>
      </c>
      <c r="D267" s="7" t="inlineStr">
        <is>
          <t>https://github.com/SamuelEnrique/erw (list_tables)</t>
        </is>
      </c>
      <c r="E267" s="7" t="inlineStr">
        <is>
          <t>2026-09-28</t>
        </is>
      </c>
      <c r="F267" s="7" t="inlineStr"/>
      <c r="G267" s="7" t="inlineStr">
        <is>
          <t>queried, not cited in a cell</t>
        </is>
      </c>
    </row>
    <row r="268">
      <c r="B268" s="6" t="inlineStr">
        <is>
          <t>E21</t>
        </is>
      </c>
      <c r="C268" s="6" t="inlineStr">
        <is>
          <t>ERW describe_table eia_state_generation_monthly</t>
        </is>
      </c>
      <c r="D268" s="6" t="inlineStr">
        <is>
          <t>https://github.com/SamuelEnrique/erw (eia_state_generation_monthly)</t>
        </is>
      </c>
      <c r="E268" s="6" t="inlineStr">
        <is>
          <t>2026-09-28</t>
        </is>
      </c>
      <c r="F268" s="6" t="inlineStr"/>
      <c r="G268" s="6" t="inlineStr">
        <is>
          <t>queried, not cited in a cell</t>
        </is>
      </c>
    </row>
    <row r="269">
      <c r="B269" s="7" t="inlineStr">
        <is>
          <t>E22</t>
        </is>
      </c>
      <c r="C269" s="7" t="inlineStr">
        <is>
          <t>ERW describe_table eia_retail_electricity_prices</t>
        </is>
      </c>
      <c r="D269" s="7" t="inlineStr">
        <is>
          <t>https://github.com/SamuelEnrique/erw (eia_retail_electricity_prices)</t>
        </is>
      </c>
      <c r="E269" s="7" t="inlineStr">
        <is>
          <t>2026-09-28</t>
        </is>
      </c>
      <c r="F269" s="7" t="inlineStr"/>
      <c r="G269" s="7" t="inlineStr">
        <is>
          <t>queried, not cited in a cell</t>
        </is>
      </c>
    </row>
    <row r="270">
      <c r="B270" s="6" t="inlineStr">
        <is>
          <t>E23</t>
        </is>
      </c>
      <c r="C270" s="6" t="inlineStr">
        <is>
          <t>ERW query eia_state_generation_monthly</t>
        </is>
      </c>
      <c r="D270" s="6" t="inlineStr">
        <is>
          <t>https://github.com/SamuelEnrique/erw (eia_state_generation_monthly)</t>
        </is>
      </c>
      <c r="E270" s="6" t="inlineStr">
        <is>
          <t>2026-09-28</t>
        </is>
      </c>
      <c r="F270" s="6" t="inlineStr"/>
      <c r="G270" s="6" t="inlineStr">
        <is>
          <t>'Fundamentals'!B13:F13; 'Fundamentals'!B14:F14; 'Fundamentals'!B15:F15; 'Fundamentals'!B23; 'Trends'!B34:E34; 'Trends'!B35:E35; 'Trends'!B36:E36; 'Trends'!B37:E37; 'Trends'!B38:E38; 'Trends'!B39:E39; 'Trends'!B55; 'Risks'!B32</t>
        </is>
      </c>
    </row>
    <row r="271">
      <c r="B271" s="7" t="inlineStr">
        <is>
          <t>E24</t>
        </is>
      </c>
      <c r="C271" s="7" t="inlineStr">
        <is>
          <t>ERW query eia_state_generation_monthly</t>
        </is>
      </c>
      <c r="D271" s="7" t="inlineStr">
        <is>
          <t>https://github.com/SamuelEnrique/erw (eia_state_generation_monthly)</t>
        </is>
      </c>
      <c r="E271" s="7" t="inlineStr">
        <is>
          <t>2026-09-28</t>
        </is>
      </c>
      <c r="F271" s="7" t="inlineStr"/>
      <c r="G271" s="7" t="inlineStr">
        <is>
          <t>'Fundamentals'!B16:F16; 'Fundamentals'!B17:F17; 'Fundamentals'!B23; 'Trends'!B34:E34; 'Trends'!B35:E35; 'Trends'!B36:E36; 'Trends'!B37:E37; 'Trends'!B38:E38; 'Trends'!B39:E39; 'Trends'!B55</t>
        </is>
      </c>
    </row>
    <row r="272">
      <c r="B272" s="6" t="inlineStr">
        <is>
          <t>E25</t>
        </is>
      </c>
      <c r="C272" s="6" t="inlineStr">
        <is>
          <t>ERW query eia_state_generation_monthly</t>
        </is>
      </c>
      <c r="D272" s="6" t="inlineStr">
        <is>
          <t>https://github.com/SamuelEnrique/erw (eia_state_generation_monthly)</t>
        </is>
      </c>
      <c r="E272" s="6" t="inlineStr">
        <is>
          <t>2026-09-28</t>
        </is>
      </c>
      <c r="F272" s="6" t="inlineStr"/>
      <c r="G272" s="6" t="inlineStr">
        <is>
          <t>'Fundamentals'!B18:F18; 'Fundamentals'!B19:F19; 'Fundamentals'!B23; 'Trends'!B34:E34; 'Trends'!B35:E35; 'Trends'!B36:E36; 'Trends'!B37:E37; 'Trends'!B38:E38; 'Trends'!B39:E39; 'Trends'!B55</t>
        </is>
      </c>
    </row>
    <row r="273">
      <c r="B273" s="7" t="inlineStr">
        <is>
          <t>E26</t>
        </is>
      </c>
      <c r="C273" s="7" t="inlineStr">
        <is>
          <t>ERW query eia_retail_electricity_prices</t>
        </is>
      </c>
      <c r="D273" s="7" t="inlineStr">
        <is>
          <t>https://github.com/SamuelEnrique/erw (eia_retail_electricity_prices)</t>
        </is>
      </c>
      <c r="E273" s="7" t="inlineStr">
        <is>
          <t>2026-09-28</t>
        </is>
      </c>
      <c r="F273" s="7" t="inlineStr"/>
      <c r="G273" s="7" t="inlineStr">
        <is>
          <t>'Fundamentals'!B20:F20; 'Fundamentals'!B21:F21; 'Fundamentals'!B23; 'Risks'!B27</t>
        </is>
      </c>
    </row>
    <row r="274">
      <c r="B274" s="6" t="inlineStr">
        <is>
          <t>E27</t>
        </is>
      </c>
      <c r="C274" s="6" t="inlineStr">
        <is>
          <t>ERW list_tables</t>
        </is>
      </c>
      <c r="D274" s="6" t="inlineStr">
        <is>
          <t>https://github.com/SamuelEnrique/erw (list_tables)</t>
        </is>
      </c>
      <c r="E274" s="6" t="inlineStr">
        <is>
          <t>2026-09-28</t>
        </is>
      </c>
      <c r="F274" s="6" t="inlineStr"/>
      <c r="G274" s="6" t="inlineStr">
        <is>
          <t>queried, not cited in a cell</t>
        </is>
      </c>
    </row>
    <row r="275">
      <c r="B275" s="7" t="inlineStr">
        <is>
          <t>E28</t>
        </is>
      </c>
      <c r="C275" s="7" t="inlineStr">
        <is>
          <t>ERW list_tables</t>
        </is>
      </c>
      <c r="D275" s="7" t="inlineStr">
        <is>
          <t>https://github.com/SamuelEnrique/erw (list_tables)</t>
        </is>
      </c>
      <c r="E275" s="7" t="inlineStr">
        <is>
          <t>2026-09-28</t>
        </is>
      </c>
      <c r="F275" s="7" t="inlineStr"/>
      <c r="G275" s="7" t="inlineStr">
        <is>
          <t>queried, not cited in a cell</t>
        </is>
      </c>
    </row>
    <row r="276">
      <c r="B276" s="6" t="inlineStr">
        <is>
          <t>E29</t>
        </is>
      </c>
      <c r="C276" s="6" t="inlineStr">
        <is>
          <t>ERW describe_table energy_deals</t>
        </is>
      </c>
      <c r="D276" s="6" t="inlineStr">
        <is>
          <t>https://github.com/SamuelEnrique/erw (energy_deals)</t>
        </is>
      </c>
      <c r="E276" s="6" t="inlineStr">
        <is>
          <t>2026-09-28</t>
        </is>
      </c>
      <c r="F276" s="6" t="inlineStr"/>
      <c r="G276" s="6" t="inlineStr">
        <is>
          <t>queried, not cited in a cell</t>
        </is>
      </c>
    </row>
    <row r="277">
      <c r="B277" s="7" t="inlineStr">
        <is>
          <t>E30</t>
        </is>
      </c>
      <c r="C277" s="7" t="inlineStr">
        <is>
          <t>ERW describe_table energy_companies</t>
        </is>
      </c>
      <c r="D277" s="7" t="inlineStr">
        <is>
          <t>https://github.com/SamuelEnrique/erw (energy_companies)</t>
        </is>
      </c>
      <c r="E277" s="7" t="inlineStr">
        <is>
          <t>2026-09-28</t>
        </is>
      </c>
      <c r="F277" s="7" t="inlineStr"/>
      <c r="G277" s="7" t="inlineStr">
        <is>
          <t>queried, not cited in a cell</t>
        </is>
      </c>
    </row>
    <row r="278">
      <c r="B278" s="6" t="inlineStr">
        <is>
          <t>E31</t>
        </is>
      </c>
      <c r="C278" s="6" t="inlineStr">
        <is>
          <t>ERW query energy_companies</t>
        </is>
      </c>
      <c r="D278" s="6" t="inlineStr">
        <is>
          <t>https://github.com/SamuelEnrique/erw (energy_companies)</t>
        </is>
      </c>
      <c r="E278" s="6" t="inlineStr">
        <is>
          <t>2026-09-28</t>
        </is>
      </c>
      <c r="F278" s="6" t="inlineStr"/>
      <c r="G278" s="6" t="inlineStr">
        <is>
          <t>'Scope'!B6; 'Fundamentals'!B7:F7; 'Fundamentals'!B23</t>
        </is>
      </c>
    </row>
    <row r="279">
      <c r="B279" s="7" t="inlineStr">
        <is>
          <t>E32</t>
        </is>
      </c>
      <c r="C279" s="7" t="inlineStr">
        <is>
          <t>ERW query energy_deals</t>
        </is>
      </c>
      <c r="D279" s="7" t="inlineStr">
        <is>
          <t>https://github.com/SamuelEnrique/erw (energy_deals)</t>
        </is>
      </c>
      <c r="E279" s="7" t="inlineStr">
        <is>
          <t>2026-09-28</t>
        </is>
      </c>
      <c r="F279" s="7" t="inlineStr"/>
      <c r="G279" s="7" t="inlineStr">
        <is>
          <t>queried, not cited in a cell</t>
        </is>
      </c>
    </row>
    <row r="280">
      <c r="B280" s="6" t="inlineStr">
        <is>
          <t>E33</t>
        </is>
      </c>
      <c r="C280" s="6" t="inlineStr">
        <is>
          <t>ERW query energy_companies</t>
        </is>
      </c>
      <c r="D280" s="6" t="inlineStr">
        <is>
          <t>https://github.com/SamuelEnrique/erw (energy_companies)</t>
        </is>
      </c>
      <c r="E280" s="6" t="inlineStr">
        <is>
          <t>2026-09-28</t>
        </is>
      </c>
      <c r="F280" s="6" t="inlineStr"/>
      <c r="G280" s="6" t="inlineStr">
        <is>
          <t>queried, not cited in a cell</t>
        </is>
      </c>
    </row>
    <row r="281">
      <c r="B281" s="7" t="inlineStr">
        <is>
          <t>E34</t>
        </is>
      </c>
      <c r="C281" s="7" t="inlineStr">
        <is>
          <t>ERW query energy_deals</t>
        </is>
      </c>
      <c r="D281" s="7" t="inlineStr">
        <is>
          <t>https://github.com/SamuelEnrique/erw (energy_deals)</t>
        </is>
      </c>
      <c r="E281" s="7" t="inlineStr">
        <is>
          <t>2026-09-28</t>
        </is>
      </c>
      <c r="F281" s="7" t="inlineStr"/>
      <c r="G281" s="7" t="inlineStr">
        <is>
          <t>queried, not cited in a cell</t>
        </is>
      </c>
    </row>
    <row r="282">
      <c r="B282" s="6" t="inlineStr">
        <is>
          <t>E35</t>
        </is>
      </c>
      <c r="C282" s="6" t="inlineStr">
        <is>
          <t>ERW query energy_companies</t>
        </is>
      </c>
      <c r="D282" s="6" t="inlineStr">
        <is>
          <t>https://github.com/SamuelEnrique/erw (energy_companies)</t>
        </is>
      </c>
      <c r="E282" s="6" t="inlineStr">
        <is>
          <t>2026-09-28</t>
        </is>
      </c>
      <c r="F282" s="6" t="inlineStr"/>
      <c r="G282" s="6" t="inlineStr">
        <is>
          <t>'Trends'!B60:F60; 'Trends'!B61:F61; 'Trends'!B62:F62; 'Trends'!B63:F63; 'Trends'!B64:F64; 'Trends'!B65:F65; 'Trends'!B66; 'Landscape'!B11:J11; 'Landscape'!B14; 'Capital'!B13:H13; 'Capital'!B17:H17; 'Capital'!B18</t>
        </is>
      </c>
    </row>
    <row r="283">
      <c r="B283" s="7" t="inlineStr">
        <is>
          <t>E36</t>
        </is>
      </c>
      <c r="C283" s="7" t="inlineStr">
        <is>
          <t>ERW query energy_companies</t>
        </is>
      </c>
      <c r="D283" s="7" t="inlineStr">
        <is>
          <t>https://github.com/SamuelEnrique/erw (energy_companies)</t>
        </is>
      </c>
      <c r="E283" s="7" t="inlineStr">
        <is>
          <t>2026-09-28</t>
        </is>
      </c>
      <c r="F283" s="7" t="inlineStr"/>
      <c r="G283" s="7" t="inlineStr">
        <is>
          <t>queried, not cited in a cell</t>
        </is>
      </c>
    </row>
    <row r="284">
      <c r="B284" s="6" t="inlineStr">
        <is>
          <t>E37</t>
        </is>
      </c>
      <c r="C284" s="6" t="inlineStr">
        <is>
          <t>ERW query energy_companies</t>
        </is>
      </c>
      <c r="D284" s="6" t="inlineStr">
        <is>
          <t>https://github.com/SamuelEnrique/erw (energy_companies)</t>
        </is>
      </c>
      <c r="E284" s="6" t="inlineStr">
        <is>
          <t>2026-09-28</t>
        </is>
      </c>
      <c r="F284" s="6" t="inlineStr"/>
      <c r="G284" s="6" t="inlineStr">
        <is>
          <t>'Landscape'!B12:J12; 'Landscape'!B14</t>
        </is>
      </c>
    </row>
    <row r="285">
      <c r="B285" s="7" t="inlineStr">
        <is>
          <t>E38</t>
        </is>
      </c>
      <c r="C285" s="7" t="inlineStr">
        <is>
          <t>ERW query energy_companies</t>
        </is>
      </c>
      <c r="D285" s="7" t="inlineStr">
        <is>
          <t>https://github.com/SamuelEnrique/erw (energy_companies)</t>
        </is>
      </c>
      <c r="E285" s="7" t="inlineStr">
        <is>
          <t>2026-09-28</t>
        </is>
      </c>
      <c r="F285" s="7" t="inlineStr"/>
      <c r="G285" s="7" t="inlineStr">
        <is>
          <t>'Trends'!B60:F60; 'Trends'!B61:F61; 'Trends'!B62:F62; 'Trends'!B63:F63; 'Trends'!B64:F64; 'Trends'!B65:F65; 'Trends'!B66; 'Trends'!B81:F81; 'Trends'!B82:F82; 'Trends'!B83:F83; 'Trends'!B84; 'Landscape'!B8:J8; 'Landscape'!B14; 'Capital'!B7:H7; 'Capital'!B8:H8; 'Capital'!B18</t>
        </is>
      </c>
    </row>
    <row r="286">
      <c r="B286" s="6" t="inlineStr">
        <is>
          <t>E39</t>
        </is>
      </c>
      <c r="C286" s="6" t="inlineStr">
        <is>
          <t>ERW query energy_companies</t>
        </is>
      </c>
      <c r="D286" s="6" t="inlineStr">
        <is>
          <t>https://github.com/SamuelEnrique/erw (energy_companies)</t>
        </is>
      </c>
      <c r="E286" s="6" t="inlineStr">
        <is>
          <t>2026-09-28</t>
        </is>
      </c>
      <c r="F286" s="6" t="inlineStr"/>
      <c r="G286" s="6" t="inlineStr">
        <is>
          <t>'Trends'!B60:F60; 'Trends'!B61:F61; 'Trends'!B62:F62; 'Trends'!B63:F63; 'Trends'!B64:F64; 'Trends'!B65:F65; 'Trends'!B66; 'Landscape'!B10:J10; 'Landscape'!B14; 'Capital'!B11:H11; 'Capital'!B16:H16; 'Capital'!B18</t>
        </is>
      </c>
    </row>
    <row r="287">
      <c r="B287" s="7" t="inlineStr">
        <is>
          <t>E40</t>
        </is>
      </c>
      <c r="C287" s="7" t="inlineStr">
        <is>
          <t>ERW query energy_companies</t>
        </is>
      </c>
      <c r="D287" s="7" t="inlineStr">
        <is>
          <t>https://github.com/SamuelEnrique/erw (energy_companies)</t>
        </is>
      </c>
      <c r="E287" s="7" t="inlineStr">
        <is>
          <t>2026-09-28</t>
        </is>
      </c>
      <c r="F287" s="7" t="inlineStr"/>
      <c r="G287" s="7" t="inlineStr">
        <is>
          <t>'Trends'!B60:F60; 'Trends'!B61:F61; 'Trends'!B62:F62; 'Trends'!B63:F63; 'Trends'!B64:F64; 'Trends'!B65:F65; 'Trends'!B66; 'Landscape'!B9:J9; 'Landscape'!B14; 'Capital'!B12:H12; 'Capital'!B14:H14; 'Capital'!B18</t>
        </is>
      </c>
    </row>
    <row r="288">
      <c r="B288" s="6" t="inlineStr">
        <is>
          <t>E41</t>
        </is>
      </c>
      <c r="C288" s="6" t="inlineStr">
        <is>
          <t>ERW query energy_companies</t>
        </is>
      </c>
      <c r="D288" s="6" t="inlineStr">
        <is>
          <t>https://github.com/SamuelEnrique/erw (energy_companies)</t>
        </is>
      </c>
      <c r="E288" s="6" t="inlineStr">
        <is>
          <t>2026-09-28</t>
        </is>
      </c>
      <c r="F288" s="6" t="inlineStr"/>
      <c r="G288" s="6" t="inlineStr">
        <is>
          <t>'Trends'!B60:F60; 'Trends'!B61:F61; 'Trends'!B62:F62; 'Trends'!B63:F63; 'Trends'!B64:F64; 'Trends'!B65:F65; 'Trends'!B66; 'Landscape'!B7:J7; 'Landscape'!B14; 'Capital'!B9:H9; 'Capital'!B10:H10; 'Capital'!B15:H15; 'Capital'!B18</t>
        </is>
      </c>
    </row>
    <row r="289">
      <c r="B289" s="7" t="inlineStr">
        <is>
          <t>E42</t>
        </is>
      </c>
      <c r="C289" s="7" t="inlineStr">
        <is>
          <t>ERW query energy_companies</t>
        </is>
      </c>
      <c r="D289" s="7" t="inlineStr">
        <is>
          <t>https://github.com/SamuelEnrique/erw (energy_companies)</t>
        </is>
      </c>
      <c r="E289" s="7" t="inlineStr">
        <is>
          <t>2026-09-28</t>
        </is>
      </c>
      <c r="F289" s="7" t="inlineStr"/>
      <c r="G289" s="7" t="inlineStr">
        <is>
          <t>'Landscape'!B13:J13; 'Landscape'!B14</t>
        </is>
      </c>
    </row>
    <row r="290">
      <c r="B290" s="6" t="inlineStr">
        <is>
          <t>E43</t>
        </is>
      </c>
      <c r="C290" s="6" t="inlineStr">
        <is>
          <t>ERW query energy_companies</t>
        </is>
      </c>
      <c r="D290" s="6" t="inlineStr">
        <is>
          <t>https://github.com/SamuelEnrique/erw (energy_companies)</t>
        </is>
      </c>
      <c r="E290" s="6" t="inlineStr">
        <is>
          <t>2026-09-28</t>
        </is>
      </c>
      <c r="F290" s="6" t="inlineStr"/>
      <c r="G290" s="6" t="inlineStr">
        <is>
          <t>queried, not cited in a cell</t>
        </is>
      </c>
    </row>
    <row r="291">
      <c r="B291" s="7" t="inlineStr">
        <is>
          <t>E44</t>
        </is>
      </c>
      <c r="C291" s="7" t="inlineStr">
        <is>
          <t>ERW query energy_deals</t>
        </is>
      </c>
      <c r="D291" s="7" t="inlineStr">
        <is>
          <t>https://github.com/SamuelEnrique/erw (energy_deals)</t>
        </is>
      </c>
      <c r="E291" s="7" t="inlineStr">
        <is>
          <t>2026-09-28</t>
        </is>
      </c>
      <c r="F291" s="7" t="inlineStr"/>
      <c r="G291" s="7" t="inlineStr">
        <is>
          <t>queried, not cited in a cell</t>
        </is>
      </c>
    </row>
    <row r="292">
      <c r="B292" s="6" t="inlineStr">
        <is>
          <t>E45</t>
        </is>
      </c>
      <c r="C292" s="6" t="inlineStr">
        <is>
          <t>ERW query energy_deals</t>
        </is>
      </c>
      <c r="D292" s="6" t="inlineStr">
        <is>
          <t>https://github.com/SamuelEnrique/erw (energy_deals)</t>
        </is>
      </c>
      <c r="E292" s="6" t="inlineStr">
        <is>
          <t>2026-09-28</t>
        </is>
      </c>
      <c r="F292" s="6" t="inlineStr"/>
      <c r="G292" s="6" t="inlineStr">
        <is>
          <t>'Trends'!B60:F60; 'Trends'!B61:F61; 'Trends'!B62:F62; 'Trends'!B63:F63; 'Trends'!B64:F64; 'Trends'!B65:F65; 'Trends'!B66</t>
        </is>
      </c>
    </row>
    <row r="293">
      <c r="B293" s="7" t="inlineStr">
        <is>
          <t>E46</t>
        </is>
      </c>
      <c r="C293" s="7" t="inlineStr">
        <is>
          <t>ERW query energy_deals</t>
        </is>
      </c>
      <c r="D293" s="7" t="inlineStr">
        <is>
          <t>https://github.com/SamuelEnrique/erw (energy_deals)</t>
        </is>
      </c>
      <c r="E293" s="7" t="inlineStr">
        <is>
          <t>2026-09-28</t>
        </is>
      </c>
      <c r="F293" s="7" t="inlineStr"/>
      <c r="G293" s="7" t="inlineStr">
        <is>
          <t>'Trends'!B60:F60; 'Trends'!B61:F61; 'Trends'!B62:F62; 'Trends'!B63:F63; 'Trends'!B64:F64; 'Trends'!B65:F65; 'Trends'!B66</t>
        </is>
      </c>
    </row>
  </sheetData>
  <mergeCells count="1">
    <mergeCell ref="B4:I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2026-09-28T20:42:40Z</dcterms:created>
  <dcterms:modified xmlns:dcterms="http://purl.org/dc/terms/" xmlns:xsi="http://www.w3.org/2001/XMLSchema-instance" xsi:type="dcterms:W3CDTF">2026-09-28T20:42:41Z</dcterms:modified>
</cp:coreProperties>
</file>