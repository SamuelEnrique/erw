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 xmlns:r="http://schemas.openxmlformats.org/officeDocument/2006/relationships" name="Fundamentals" sheetId="2" state="visible" r:id="rId2"/>
    <sheet xmlns:r="http://schemas.openxmlformats.org/officeDocument/2006/relationships" name="Trends" sheetId="3" state="visible" r:id="rId3"/>
    <sheet xmlns:r="http://schemas.openxmlformats.org/officeDocument/2006/relationships" name="Landscape" sheetId="4" state="visible" r:id="rId4"/>
    <sheet xmlns:r="http://schemas.openxmlformats.org/officeDocument/2006/relationships" name="Capital" sheetId="5" state="visible" r:id="rId5"/>
    <sheet xmlns:r="http://schemas.openxmlformats.org/officeDocument/2006/relationships" name="Incumbents" sheetId="6" state="visible" r:id="rId6"/>
    <sheet xmlns:r="http://schemas.openxmlformats.org/officeDocument/2006/relationships" name="Policy" sheetId="7" state="visible" r:id="rId7"/>
    <sheet xmlns:r="http://schemas.openxmlformats.org/officeDocument/2006/relationships" name="Risks" sheetId="8" state="visible" r:id="rId8"/>
    <sheet xmlns:r="http://schemas.openxmlformats.org/officeDocument/2006/relationships" name="Sour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8C1515"/>
      <sz val="16"/>
    </font>
    <font>
      <name val="Georgia"/>
      <i val="1"/>
      <color rgb="002E2D29"/>
      <sz val="11"/>
    </font>
    <font>
      <name val="Georgia"/>
      <b val="1"/>
      <color rgb="00FFFFFF"/>
      <sz val="11"/>
    </font>
    <font>
      <name val="Calibri"/>
      <b val="1"/>
      <color rgb="00FFFFFF"/>
      <sz val="10"/>
    </font>
    <font>
      <name val="Calibri"/>
      <color rgb="002E2D29"/>
      <sz val="10"/>
    </font>
  </fonts>
  <fills count="4">
    <fill>
      <patternFill/>
    </fill>
    <fill>
      <patternFill patternType="gray125"/>
    </fill>
    <fill>
      <patternFill patternType="solid">
        <fgColor rgb="008C1515"/>
      </patternFill>
    </fill>
    <fill>
      <patternFill patternType="solid">
        <fgColor rgb="00F7F3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Geothermal net generation, MWh</a:t>
            </a:r>
          </a:p>
        </rich>
      </tx>
    </title>
    <plotArea>
      <lineChart>
        <grouping val="standard"/>
        <ser>
          <idx val="0"/>
          <order val="0"/>
          <tx>
            <strRef>
              <f>'Trends'!C6</f>
            </strRef>
          </tx>
          <spPr>
            <a:solidFill xmlns:a="http://schemas.openxmlformats.org/drawingml/2006/main">
              <a:srgbClr val="8C1515"/>
            </a:solidFill>
            <a:ln xmlns:a="http://schemas.openxmlformats.org/drawingml/2006/main">
              <a:solidFill>
                <a:srgbClr val="8C1515"/>
              </a:solidFill>
              <a:prstDash val="solid"/>
            </a:ln>
          </spPr>
          <marker>
            <symbol val="none"/>
            <spPr>
              <a:ln xmlns:a="http://schemas.openxmlformats.org/drawingml/2006/main">
                <a:prstDash val="solid"/>
              </a:ln>
            </spPr>
          </marker>
          <cat>
            <numRef>
              <f>'Trends'!$B$7:$B$11</f>
            </numRef>
          </cat>
          <val>
            <numRef>
              <f>'Trends'!$C$7:$C$11</f>
            </numRef>
          </val>
        </ser>
        <ser>
          <idx val="1"/>
          <order val="1"/>
          <tx>
            <strRef>
              <f>'Trends'!D6</f>
            </strRef>
          </tx>
          <spPr>
            <a:solidFill xmlns:a="http://schemas.openxmlformats.org/drawingml/2006/main">
              <a:srgbClr val="007C92"/>
            </a:solidFill>
            <a:ln xmlns:a="http://schemas.openxmlformats.org/drawingml/2006/main">
              <a:solidFill>
                <a:srgbClr val="007C92"/>
              </a:solidFill>
              <a:prstDash val="solid"/>
            </a:ln>
          </spPr>
          <marker>
            <symbol val="none"/>
            <spPr>
              <a:ln xmlns:a="http://schemas.openxmlformats.org/drawingml/2006/main">
                <a:prstDash val="solid"/>
              </a:ln>
            </spPr>
          </marker>
          <cat>
            <numRef>
              <f>'Trends'!$B$7:$B$11</f>
            </numRef>
          </cat>
          <val>
            <numRef>
              <f>'Trends'!$D$7:$D$11</f>
            </numRef>
          </val>
        </ser>
        <ser>
          <idx val="2"/>
          <order val="2"/>
          <tx>
            <strRef>
              <f>'Trends'!E6</f>
            </strRef>
          </tx>
          <spPr>
            <a:solidFill xmlns:a="http://schemas.openxmlformats.org/drawingml/2006/main">
              <a:srgbClr val="E98300"/>
            </a:solidFill>
            <a:ln xmlns:a="http://schemas.openxmlformats.org/drawingml/2006/main">
              <a:solidFill>
                <a:srgbClr val="E98300"/>
              </a:solidFill>
              <a:prstDash val="solid"/>
            </a:ln>
          </spPr>
          <marker>
            <symbol val="none"/>
            <spPr>
              <a:ln xmlns:a="http://schemas.openxmlformats.org/drawingml/2006/main">
                <a:prstDash val="solid"/>
              </a:ln>
            </spPr>
          </marker>
          <cat>
            <numRef>
              <f>'Trends'!$B$7:$B$11</f>
            </numRef>
          </cat>
          <val>
            <numRef>
              <f>'Trends'!$E$7:$E$11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22"/>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Scope</t>
        </is>
      </c>
    </row>
    <row r="2">
      <c r="B2" s="2" t="inlineStr">
        <is>
          <t>subsurface heat mapping for geothermal</t>
        </is>
      </c>
    </row>
    <row r="4" ht="20" customHeight="1">
      <c r="B4" s="3" t="inlineStr">
        <is>
          <t>(1) DEFINITION</t>
        </is>
      </c>
    </row>
    <row r="5" ht="60" customHeight="1">
      <c r="B5" s="4" t="inlineStr">
        <is>
          <r>
            <rPr>
              <rFont val="Calibri"/>
              <b val="1"/>
              <color rgb="002E2D29"/>
              <sz val="10"/>
            </rPr>
            <t xml:space="preserve">Fact: </t>
          </r>
          <r>
            <rPr>
              <rFont val="Calibri"/>
              <color rgb="002E2D29"/>
              <sz val="10"/>
            </rPr>
            <t>Subsurface heat mapping for geothermal is the work of finding and characterizing underground heat and permeability before a well is drilled. Exploration is the riskiest part of geothermal development. The only sure way to know whether a site holds an economic resource is to drill, and drilling cost usually rules that out in early exploration, so the niche exists to narrow the list of drill targets before that cost is spent.</t>
          </r>
        </is>
      </c>
    </row>
    <row r="6" ht="15" customHeight="1">
      <c r="B6" s="4" t="inlineStr">
        <is>
          <r>
            <rPr>
              <rFont val="Calibri"/>
              <b val="1"/>
              <i val="1"/>
              <color rgb="00808080"/>
              <sz val="10"/>
            </rPr>
            <t xml:space="preserve">Source(s): </t>
          </r>
          <r>
            <rPr>
              <rFont val="Calibri"/>
              <i val="1"/>
              <color rgb="00808080"/>
              <sz val="10"/>
            </rPr>
            <t>S64 The State of Geothermal Technology Part I: Subsurface Techno</t>
          </r>
        </is>
      </c>
    </row>
    <row r="8" ht="20" customHeight="1">
      <c r="B8" s="3" t="inlineStr">
        <is>
          <t>(2) VALUE CHAIN</t>
        </is>
      </c>
    </row>
    <row r="9">
      <c r="B9" s="5" t="inlineStr">
        <is>
          <t>Stage</t>
        </is>
      </c>
      <c r="C9" s="5" t="inlineStr">
        <is>
          <t>What happens</t>
        </is>
      </c>
    </row>
    <row r="10">
      <c r="B10" s="6" t="inlineStr">
        <is>
          <t>Data inputs</t>
        </is>
      </c>
      <c r="C10" s="6" t="inlineStr">
        <is>
          <t>Geologic and geophysical data and existing well records go in. Statistical models of the geological factors that favor geothermal systems are one example.</t>
        </is>
      </c>
    </row>
    <row r="11">
      <c r="B11" s="7" t="inlineStr">
        <is>
          <t>Mapping and analytics</t>
        </is>
      </c>
      <c r="C11" s="7" t="inlineStr">
        <is>
          <t>Zanskar sells this step as an AI-native geothermal discovery platform that combines field geoscience with custom software.</t>
        </is>
      </c>
    </row>
    <row r="12">
      <c r="B12" s="6" t="inlineStr">
        <is>
          <t>Exploration drilling</t>
        </is>
      </c>
      <c r="C12" s="6" t="inlineStr">
        <is>
          <t>Zanskar says its Series C money will scale exploration drilling.</t>
        </is>
      </c>
    </row>
    <row r="13">
      <c r="B13" s="7" t="inlineStr">
        <is>
          <t>Project development and plant build</t>
        </is>
      </c>
      <c r="C13" s="7" t="inlineStr">
        <is>
          <t>Zanskar plans to begin construction at sites already identified in its pipeline. Fervo builds, owns and operates geothermal plants.</t>
        </is>
      </c>
    </row>
    <row r="14">
      <c r="B14" s="6" t="inlineStr">
        <is>
          <t>Customer</t>
        </is>
      </c>
      <c r="C14" s="6" t="inlineStr">
        <is>
          <t>Customers are utilities and power buyers. One warehouse deal is Google, Ormat and NV Energy on 150 MW of geothermal power for Nevada data centers, dated 2026-02-17 (model_extracted, check the link).</t>
        </is>
      </c>
    </row>
    <row r="15" ht="30" customHeight="1">
      <c r="B15" s="4" t="inlineStr">
        <is>
          <r>
            <rPr>
              <rFont val="Calibri"/>
              <b val="1"/>
              <i val="1"/>
              <color rgb="00808080"/>
              <sz val="10"/>
            </rPr>
            <t xml:space="preserve">Source(s): </t>
          </r>
          <r>
            <rPr>
              <rFont val="Calibri"/>
              <i val="1"/>
              <color rgb="00808080"/>
              <sz val="10"/>
            </rPr>
            <t>S35 Geothermal; S1 Zanskar raises $115M to support expansion of AI-based geothe; S52 Fervo Energy Co - Form 10-Q - FY2026; E18 ERW table energy_deals; E11 ERW table energy_deals</t>
          </r>
        </is>
      </c>
    </row>
    <row r="17" ht="20" customHeight="1">
      <c r="B17" s="3" t="inlineStr">
        <is>
          <t>(3) ADJACENT NICHES EXCLUDED</t>
        </is>
      </c>
    </row>
    <row r="18">
      <c r="B18" s="5" t="inlineStr">
        <is>
          <t>Niche</t>
        </is>
      </c>
      <c r="C18" s="5" t="inlineStr">
        <is>
          <t>Why it is out of scope</t>
        </is>
      </c>
    </row>
    <row r="19">
      <c r="B19" s="6" t="inlineStr">
        <is>
          <t>Ground-source heat pumps and other shallow direct-use heat</t>
        </is>
      </c>
      <c r="C19" s="6" t="inlineStr">
        <is>
          <t>They do not need resource discovery. This is an ERW scoping call, not a sourced figure.</t>
        </is>
      </c>
    </row>
    <row r="20">
      <c r="B20" s="7" t="inlineStr">
        <is>
          <t>Oil and gas seismic work with no geothermal customer</t>
        </is>
      </c>
      <c r="C20" s="7" t="inlineStr">
        <is>
          <t>No geothermal customer, so no link to the niche.</t>
        </is>
      </c>
    </row>
    <row r="21">
      <c r="B21" s="6" t="inlineStr">
        <is>
          <t>Grid-side items such as storage, curtailment and PJM capacity prices</t>
        </is>
      </c>
      <c r="C21" s="6" t="inlineStr">
        <is>
          <t>The warehouse holds no geothermal-specific series for them.</t>
        </is>
      </c>
    </row>
    <row r="22" ht="30" customHeight="1">
      <c r="B22" s="4" t="inlineStr">
        <is>
          <r>
            <rPr>
              <rFont val="Calibri"/>
              <b val="1"/>
              <i val="1"/>
              <color rgb="00808080"/>
              <sz val="10"/>
            </rPr>
            <t xml:space="preserve">Built: </t>
          </r>
          <r>
            <rPr>
              <rFont val="Calibri"/>
              <i val="1"/>
              <color rgb="00808080"/>
              <sz val="10"/>
            </rPr>
            <t>2026-09-30 05:12 UTC by warehouse/thesis/build.py, run 20260930T050541Z; 17 model calls (claude-sonnet-5-5), 41 web searches, USD 1.6400, 7.0 minutes. Numbers not found in a cited source are written as not confirmed.</t>
          </r>
        </is>
      </c>
    </row>
  </sheetData>
  <mergeCells count="7">
    <mergeCell ref="B15:I15"/>
    <mergeCell ref="B6:I6"/>
    <mergeCell ref="B5:I5"/>
    <mergeCell ref="B22:I22"/>
    <mergeCell ref="B8:I8"/>
    <mergeCell ref="B4:I4"/>
    <mergeCell ref="B17:I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1"/>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Fundamentals</t>
        </is>
      </c>
    </row>
    <row r="2">
      <c r="B2" s="2" t="inlineStr">
        <is>
          <t>subsurface heat mapping for geothermal</t>
        </is>
      </c>
    </row>
    <row r="4" ht="20" customHeight="1">
      <c r="B4" s="3" t="inlineStr">
        <is>
          <t>(1) THE FRAMING NUMBERS</t>
        </is>
      </c>
    </row>
    <row r="5" ht="15" customHeight="1">
      <c r="B5" s="4" t="inlineStr">
        <is>
          <r>
            <rPr>
              <rFont val="Calibri"/>
              <b val="1"/>
              <color rgb="002E2D29"/>
              <sz val="10"/>
            </rPr>
            <t xml:space="preserve">Fact: </t>
          </r>
          <r>
            <rPr>
              <rFont val="Calibri"/>
              <color rgb="002E2D29"/>
              <sz val="10"/>
            </rPr>
            <t>US operating geothermal nameplate is 4049.2 MW across 163 generators, EIA-860M vintage 2026-08. (not confirmed: 8)</t>
          </r>
        </is>
      </c>
    </row>
    <row r="6">
      <c r="B6" s="5" t="inlineStr">
        <is>
          <t>Metric</t>
        </is>
      </c>
      <c r="C6" s="5" t="inlineStr">
        <is>
          <t>Value</t>
        </is>
      </c>
      <c r="D6" s="5" t="inlineStr">
        <is>
          <t>Unit</t>
        </is>
      </c>
      <c r="E6" s="5" t="inlineStr">
        <is>
          <t>As of</t>
        </is>
      </c>
      <c r="F6" s="5" t="inlineStr">
        <is>
          <t>Source</t>
        </is>
      </c>
    </row>
    <row r="7">
      <c r="B7" s="6" t="inlineStr">
        <is>
          <t>US operating geothermal nameplate capacity</t>
        </is>
      </c>
      <c r="C7" s="6" t="inlineStr">
        <is>
          <t>4049.2</t>
        </is>
      </c>
      <c r="D7" s="6" t="inlineStr">
        <is>
          <t>MW</t>
        </is>
      </c>
      <c r="E7" s="6" t="inlineStr">
        <is>
          <t>2026-08</t>
        </is>
      </c>
      <c r="F7" s="6" t="inlineStr">
        <is>
          <t>E8 (ERW)</t>
        </is>
      </c>
    </row>
    <row r="8">
      <c r="B8" s="7" t="inlineStr">
        <is>
          <t>California operating geothermal nameplate capacity (76 generators)</t>
        </is>
      </c>
      <c r="C8" s="7" t="inlineStr">
        <is>
          <t>2935.5</t>
        </is>
      </c>
      <c r="D8" s="7" t="inlineStr">
        <is>
          <t>MW</t>
        </is>
      </c>
      <c r="E8" s="7" t="inlineStr">
        <is>
          <t>2026-08</t>
        </is>
      </c>
      <c r="F8" s="7" t="inlineStr">
        <is>
          <t>E7 (ERW)</t>
        </is>
      </c>
    </row>
    <row r="9">
      <c r="B9" s="6" t="inlineStr">
        <is>
          <t>Nevada operating geothermal nameplate capacity (60 generators)</t>
        </is>
      </c>
      <c r="C9" s="6" t="inlineStr">
        <is>
          <t>913.7</t>
        </is>
      </c>
      <c r="D9" s="6" t="inlineStr">
        <is>
          <t>MW</t>
        </is>
      </c>
      <c r="E9" s="6" t="inlineStr">
        <is>
          <t>2026-08</t>
        </is>
      </c>
      <c r="F9" s="6" t="inlineStr">
        <is>
          <t>E7 (ERW)</t>
        </is>
      </c>
    </row>
    <row r="10">
      <c r="B10" s="7" t="inlineStr">
        <is>
          <t>California share of US operating geothermal capacity</t>
        </is>
      </c>
      <c r="C10" s="7" t="inlineStr">
        <is>
          <t>not confirmed (estimate: 2935.5 / 4049.2)</t>
        </is>
      </c>
      <c r="D10" s="7" t="inlineStr">
        <is>
          <t>percent</t>
        </is>
      </c>
      <c r="E10" s="7" t="inlineStr">
        <is>
          <t>2026-08</t>
        </is>
      </c>
      <c r="F10" s="7" t="inlineStr">
        <is>
          <t>E7, E8 (ERW)</t>
        </is>
      </c>
    </row>
    <row r="11">
      <c r="B11" s="6" t="inlineStr">
        <is>
          <t>Nevada share of US operating geothermal capacity</t>
        </is>
      </c>
      <c r="C11" s="6" t="inlineStr">
        <is>
          <t>not confirmed (estimate: 913.7 / 4049.2)</t>
        </is>
      </c>
      <c r="D11" s="6" t="inlineStr">
        <is>
          <t>percent</t>
        </is>
      </c>
      <c r="E11" s="6" t="inlineStr">
        <is>
          <t>2026-08</t>
        </is>
      </c>
      <c r="F11" s="6" t="inlineStr">
        <is>
          <t>E7, E8 (ERW)</t>
        </is>
      </c>
    </row>
    <row r="12">
      <c r="B12" s="7" t="inlineStr">
        <is>
          <t>Steam turbine geothermal capacity</t>
        </is>
      </c>
      <c r="C12" s="7" t="inlineStr">
        <is>
          <t>2691.4</t>
        </is>
      </c>
      <c r="D12" s="7" t="inlineStr">
        <is>
          <t>MW</t>
        </is>
      </c>
      <c r="E12" s="7" t="inlineStr">
        <is>
          <t>2026-08</t>
        </is>
      </c>
      <c r="F12" s="7" t="inlineStr">
        <is>
          <t>E15 (ERW)</t>
        </is>
      </c>
    </row>
    <row r="13">
      <c r="B13" s="6" t="inlineStr">
        <is>
          <t>Binary-cycle geothermal capacity</t>
        </is>
      </c>
      <c r="C13" s="6" t="inlineStr">
        <is>
          <t>1357.8</t>
        </is>
      </c>
      <c r="D13" s="6" t="inlineStr">
        <is>
          <t>MW</t>
        </is>
      </c>
      <c r="E13" s="6" t="inlineStr">
        <is>
          <t>2026-08</t>
        </is>
      </c>
      <c r="F13" s="6" t="inlineStr">
        <is>
          <t>E15 (ERW)</t>
        </is>
      </c>
    </row>
    <row r="14">
      <c r="B14" s="7" t="inlineStr">
        <is>
          <t>Planned geothermal capacity, Utah (4 generators)</t>
        </is>
      </c>
      <c r="C14" s="7" t="inlineStr">
        <is>
          <t>130.8</t>
        </is>
      </c>
      <c r="D14" s="7" t="inlineStr">
        <is>
          <t>MW</t>
        </is>
      </c>
      <c r="E14" s="7" t="inlineStr">
        <is>
          <t>2026-08</t>
        </is>
      </c>
      <c r="F14" s="7" t="inlineStr">
        <is>
          <t>E12 (ERW)</t>
        </is>
      </c>
    </row>
    <row r="15">
      <c r="B15" s="6" t="inlineStr">
        <is>
          <t>Planned geothermal capacity, Nevada (5 generators)</t>
        </is>
      </c>
      <c r="C15" s="6" t="inlineStr">
        <is>
          <t>26.5</t>
        </is>
      </c>
      <c r="D15" s="6" t="inlineStr">
        <is>
          <t>MW</t>
        </is>
      </c>
      <c r="E15" s="6" t="inlineStr">
        <is>
          <t>2026-08</t>
        </is>
      </c>
      <c r="F15" s="6" t="inlineStr">
        <is>
          <t>E12 (ERW)</t>
        </is>
      </c>
    </row>
    <row r="16">
      <c r="B16" s="7" t="inlineStr">
        <is>
          <t>Planned geothermal capacity, total</t>
        </is>
      </c>
      <c r="C16" s="7" t="inlineStr">
        <is>
          <t>not confirmed (estimate: 130.8 + 26.5)</t>
        </is>
      </c>
      <c r="D16" s="7" t="inlineStr">
        <is>
          <t>MW</t>
        </is>
      </c>
      <c r="E16" s="7" t="inlineStr">
        <is>
          <t>2026-08</t>
        </is>
      </c>
      <c r="F16" s="7" t="inlineStr">
        <is>
          <t>E12 (ERW)</t>
        </is>
      </c>
    </row>
    <row r="17">
      <c r="B17" s="6" t="inlineStr">
        <is>
          <t>US geothermal net generation, 2025</t>
        </is>
      </c>
      <c r="C17" s="6" t="inlineStr">
        <is>
          <t>15668818.37</t>
        </is>
      </c>
      <c r="D17" s="6" t="inlineStr">
        <is>
          <t>MWh</t>
        </is>
      </c>
      <c r="E17" s="6" t="inlineStr">
        <is>
          <t>2025</t>
        </is>
      </c>
      <c r="F17" s="6" t="inlineStr">
        <is>
          <t>E16 (ERW)</t>
        </is>
      </c>
    </row>
    <row r="18">
      <c r="B18" s="7" t="inlineStr">
        <is>
          <t>Geothermal rows in the deals table</t>
        </is>
      </c>
      <c r="C18" s="7" t="inlineStr">
        <is>
          <t>2 of 372</t>
        </is>
      </c>
      <c r="D18" s="7" t="inlineStr">
        <is>
          <t>rows</t>
        </is>
      </c>
      <c r="E18" s="7" t="inlineStr">
        <is>
          <t>2026-09-28</t>
        </is>
      </c>
      <c r="F18" s="7" t="inlineStr">
        <is>
          <t>E11, E2 (ERW)</t>
        </is>
      </c>
    </row>
    <row r="19">
      <c r="B19" s="6" t="inlineStr">
        <is>
          <t>Drilling share of total capital cost in a geothermal project</t>
        </is>
      </c>
      <c r="C19" s="6" t="inlineStr">
        <is>
          <t>not confirmed</t>
        </is>
      </c>
      <c r="D19" s="6" t="inlineStr">
        <is>
          <t>percent</t>
        </is>
      </c>
      <c r="E19" s="6" t="inlineStr">
        <is>
          <t>not disclosed</t>
        </is>
      </c>
      <c r="F19" s="6" t="inlineStr">
        <is>
          <t>S65</t>
        </is>
      </c>
    </row>
    <row r="20">
      <c r="B20" s="7" t="inlineStr">
        <is>
          <t>Exploration success rate in one NREL parameter case</t>
        </is>
      </c>
      <c r="C20" s="7" t="inlineStr">
        <is>
          <t>not confirmed</t>
        </is>
      </c>
      <c r="D20" s="7" t="inlineStr">
        <is>
          <t>percent</t>
        </is>
      </c>
      <c r="E20" s="7" t="inlineStr">
        <is>
          <t>not disclosed</t>
        </is>
      </c>
      <c r="F20" s="7" t="inlineStr">
        <is>
          <t>S62</t>
        </is>
      </c>
    </row>
    <row r="21" ht="60" customHeight="1">
      <c r="B21" s="4" t="inlineStr">
        <is>
          <r>
            <rPr>
              <rFont val="Calibri"/>
              <b val="1"/>
              <i val="1"/>
              <color rgb="00808080"/>
              <sz val="10"/>
            </rPr>
            <t xml:space="preserve">Source(s): </t>
          </r>
          <r>
            <rPr>
              <rFont val="Calibri"/>
              <i val="1"/>
              <color rgb="00808080"/>
              <sz val="10"/>
            </rPr>
            <t>E8 ERW table eia860m_operating_generators; E7 ERW table eia860m_operating_generators; E15 ERW table eia860m_operating_generators; E12 ERW table eia860m_planned_generators; E16 ERW table eia_state_generation_monthly; S65 Exploration Technique: Production Wells; S62 Drilling Down into the Cost of Geothermal Energy; E11 ERW table energy_deals; E2 ERW table list_tables</t>
          </r>
        </is>
      </c>
    </row>
  </sheetData>
  <mergeCells count="3">
    <mergeCell ref="B5:I5"/>
    <mergeCell ref="B21:I21"/>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66"/>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Trends</t>
        </is>
      </c>
    </row>
    <row r="2">
      <c r="B2" s="2" t="inlineStr">
        <is>
          <t>subsurface heat mapping for geothermal</t>
        </is>
      </c>
    </row>
    <row r="4" ht="20" customHeight="1">
      <c r="B4" s="3" t="inlineStr">
        <is>
          <t>(1) US GEOTHERMAL OUTPUT IS FLAT</t>
        </is>
      </c>
    </row>
    <row r="5" ht="45" customHeight="1">
      <c r="B5" s="4" t="inlineStr">
        <is>
          <r>
            <rPr>
              <rFont val="Calibri"/>
              <b val="1"/>
              <color rgb="002E2D29"/>
              <sz val="10"/>
            </rPr>
            <t xml:space="preserve">Fact: </t>
          </r>
          <r>
            <rPr>
              <rFont val="Calibri"/>
              <color rgb="002E2D29"/>
              <sz val="10"/>
            </rPr>
            <t>US geothermal generation was 15975127.0 MWh in 2021 and 15668818.37 MWh in 2025. Estimate: that is a fall of 1.9% ((15668818.37 - 15975127.0) / 15975127.0). Planned additions are estimate: 157.3 MW (130.8 + 26.5), so demand for new discovery rests on projects not in the EIA planned list. (not confirmed: 1.9, 157.3)</t>
          </r>
        </is>
      </c>
    </row>
    <row r="6">
      <c r="B6" s="5" t="inlineStr">
        <is>
          <t>Year</t>
        </is>
      </c>
      <c r="C6" s="5" t="inlineStr">
        <is>
          <t>US (MWh)</t>
        </is>
      </c>
      <c r="D6" s="5" t="inlineStr">
        <is>
          <t>California (MWh)</t>
        </is>
      </c>
      <c r="E6" s="5" t="inlineStr">
        <is>
          <t>Nevada (MWh)</t>
        </is>
      </c>
    </row>
    <row r="7">
      <c r="B7" s="6" t="inlineStr">
        <is>
          <t>2021</t>
        </is>
      </c>
      <c r="C7" s="6" t="n">
        <v>15975127</v>
      </c>
      <c r="D7" s="6" t="n">
        <v>11127544.01</v>
      </c>
      <c r="E7" s="6" t="n">
        <v>3917454.03</v>
      </c>
    </row>
    <row r="8">
      <c r="B8" s="7" t="inlineStr">
        <is>
          <t>2022</t>
        </is>
      </c>
      <c r="C8" s="7" t="n">
        <v>16086929</v>
      </c>
      <c r="D8" s="7" t="n">
        <v>11180964.01</v>
      </c>
      <c r="E8" s="7" t="n">
        <v>3917131</v>
      </c>
    </row>
    <row r="9">
      <c r="B9" s="6" t="inlineStr">
        <is>
          <t>2023</t>
        </is>
      </c>
      <c r="C9" s="6" t="n">
        <v>16367398</v>
      </c>
      <c r="D9" s="6" t="n">
        <v>11265933</v>
      </c>
      <c r="E9" s="6" t="n">
        <v>4150414</v>
      </c>
    </row>
    <row r="10">
      <c r="B10" s="7" t="inlineStr">
        <is>
          <t>2024</t>
        </is>
      </c>
      <c r="C10" s="7" t="n">
        <v>15407140</v>
      </c>
      <c r="D10" s="7" t="n">
        <v>10524488</v>
      </c>
      <c r="E10" s="7" t="n">
        <v>3885732</v>
      </c>
    </row>
    <row r="11">
      <c r="B11" s="6" t="inlineStr">
        <is>
          <t>2025</t>
        </is>
      </c>
      <c r="C11" s="6" t="n">
        <v>15668818.37</v>
      </c>
      <c r="D11" s="6" t="n">
        <v>10746514.85</v>
      </c>
      <c r="E11" s="6" t="n">
        <v>3874637.95</v>
      </c>
    </row>
    <row r="27" ht="30" customHeight="1">
      <c r="B27" s="4" t="inlineStr">
        <is>
          <r>
            <rPr>
              <rFont val="Calibri"/>
              <b val="1"/>
              <i val="1"/>
              <color rgb="00808080"/>
              <sz val="10"/>
            </rPr>
            <t xml:space="preserve">Source(s): </t>
          </r>
          <r>
            <rPr>
              <rFont val="Calibri"/>
              <i val="1"/>
              <color rgb="00808080"/>
              <sz val="10"/>
            </rPr>
            <t>E16 ERW table eia_state_generation_monthly; E10 ERW table eia_state_generation_monthly; E14 ERW table eia_state_generation_monthly; E12 ERW table eia860m_planned_generators</t>
          </r>
        </is>
      </c>
    </row>
    <row r="29" ht="20" customHeight="1">
      <c r="B29" s="3" t="inlineStr">
        <is>
          <t>(2) MAPPING AND DRILLING DEVELOPERS ARE DRAWING PRIVATE CAPITAL</t>
        </is>
      </c>
    </row>
    <row r="30" ht="30" customHeight="1">
      <c r="B30" s="4" t="inlineStr">
        <is>
          <r>
            <rPr>
              <rFont val="Calibri"/>
              <b val="1"/>
              <color rgb="002E2D29"/>
              <sz val="10"/>
            </rPr>
            <t xml:space="preserve">Fact: </t>
          </r>
          <r>
            <rPr>
              <rFont val="Calibri"/>
              <color rgb="002E2D29"/>
              <sz val="10"/>
            </rPr>
            <t>Zanskar raised a 115 million USD Series C, and Quaise closed a 180 million USD Series B. Round dates come from the research notes; the first search result on Zanskar's round did not show one. (not confirmed: 180)</t>
          </r>
        </is>
      </c>
    </row>
    <row r="31">
      <c r="B31" s="5" t="inlineStr">
        <is>
          <t>Date</t>
        </is>
      </c>
      <c r="C31" s="5" t="inlineStr">
        <is>
          <t>Company</t>
        </is>
      </c>
      <c r="D31" s="5" t="inlineStr">
        <is>
          <t>Round</t>
        </is>
      </c>
      <c r="E31" s="5" t="inlineStr">
        <is>
          <t>Amount</t>
        </is>
      </c>
      <c r="F31" s="5" t="inlineStr">
        <is>
          <t>Source</t>
        </is>
      </c>
    </row>
    <row r="32">
      <c r="B32" s="6" t="inlineStr">
        <is>
          <t>not confirmed</t>
        </is>
      </c>
      <c r="C32" s="6" t="inlineStr">
        <is>
          <t>Zanskar</t>
        </is>
      </c>
      <c r="D32" s="6" t="inlineStr">
        <is>
          <t>Series C, led by Spring Lane Capital</t>
        </is>
      </c>
      <c r="E32" s="6" t="inlineStr">
        <is>
          <t>115 million USD</t>
        </is>
      </c>
      <c r="F32" s="6" t="inlineStr">
        <is>
          <t>S1, S80</t>
        </is>
      </c>
    </row>
    <row r="33">
      <c r="B33" s="7" t="inlineStr">
        <is>
          <t>not confirmed</t>
        </is>
      </c>
      <c r="C33" s="7" t="inlineStr">
        <is>
          <t>Zanskar</t>
        </is>
      </c>
      <c r="D33" s="7" t="inlineStr">
        <is>
          <t>Development capital financing</t>
        </is>
      </c>
      <c r="E33" s="7" t="inlineStr">
        <is>
          <t>40 million USD</t>
        </is>
      </c>
      <c r="F33" s="7" t="inlineStr">
        <is>
          <t>S249</t>
        </is>
      </c>
    </row>
    <row r="34">
      <c r="B34" s="6" t="inlineStr">
        <is>
          <t>not confirmed</t>
        </is>
      </c>
      <c r="C34" s="6" t="inlineStr">
        <is>
          <t>Quaise</t>
        </is>
      </c>
      <c r="D34" s="6" t="inlineStr">
        <is>
          <t>Series B, first close</t>
        </is>
      </c>
      <c r="E34" s="6" t="inlineStr">
        <is>
          <t>134 million USD</t>
        </is>
      </c>
      <c r="F34" s="6" t="inlineStr">
        <is>
          <t>S30</t>
        </is>
      </c>
    </row>
    <row r="35">
      <c r="B35" s="7" t="inlineStr">
        <is>
          <t>not confirmed</t>
        </is>
      </c>
      <c r="C35" s="7" t="inlineStr">
        <is>
          <t>Quaise</t>
        </is>
      </c>
      <c r="D35" s="7" t="inlineStr">
        <is>
          <t>Series B, final close, incl. 35 million USD from Nabors (not confirmed: 35)</t>
        </is>
      </c>
      <c r="E35" s="7" t="inlineStr">
        <is>
          <t>not confirmed</t>
        </is>
      </c>
      <c r="F35" s="7" t="inlineStr">
        <is>
          <t>S29</t>
        </is>
      </c>
    </row>
    <row r="36">
      <c r="B36" s="6" t="inlineStr">
        <is>
          <t>not confirmed</t>
        </is>
      </c>
      <c r="C36" s="6" t="inlineStr">
        <is>
          <t>Mazama</t>
        </is>
      </c>
      <c r="D36" s="6" t="inlineStr">
        <is>
          <t>Series B and other capital</t>
        </is>
      </c>
      <c r="E36" s="6" t="inlineStr">
        <is>
          <t>135 million USD</t>
        </is>
      </c>
      <c r="F36" s="6" t="inlineStr">
        <is>
          <t>S101</t>
        </is>
      </c>
    </row>
    <row r="37" ht="45" customHeight="1">
      <c r="B37" s="4" t="inlineStr">
        <is>
          <r>
            <rPr>
              <rFont val="Calibri"/>
              <b val="1"/>
              <i val="1"/>
              <color rgb="00808080"/>
              <sz val="10"/>
            </rPr>
            <t xml:space="preserve">Source(s): </t>
          </r>
          <r>
            <rPr>
              <rFont val="Calibri"/>
              <i val="1"/>
              <color rgb="00808080"/>
              <sz val="10"/>
            </rPr>
            <t>S1 Zanskar raises $115M to support expansion of AI-based geothe; S80 Zanskar Raises $115 Million to Propel Geothermal Discoveries; S249 Zanskar Closes $40M in Novel Development Capital Financing, ; S30 Quaise Energy Raises $134 Million in Initial Close of Series; S29 Quaise Energy; S101 Exclusive: Mazama Energy raises $135M for superhot geotherma</t>
          </r>
        </is>
      </c>
    </row>
    <row r="39" ht="20" customHeight="1">
      <c r="B39" s="3" t="inlineStr">
        <is>
          <t>(3) PUBLIC CAPITAL IS OPEN TO DEVELOPERS WHO USE THE MAPPING</t>
        </is>
      </c>
    </row>
    <row r="40" ht="45" customHeight="1">
      <c r="B40" s="4" t="inlineStr">
        <is>
          <r>
            <rPr>
              <rFont val="Calibri"/>
              <b val="1"/>
              <color rgb="002E2D29"/>
              <sz val="10"/>
            </rPr>
            <t xml:space="preserve">Fact: </t>
          </r>
          <r>
            <rPr>
              <rFont val="Calibri"/>
              <color rgb="002E2D29"/>
              <sz val="10"/>
            </rPr>
            <t>Fervo's IPO was reported at 1.89 billion USD by Bloomberg and at 1.9 billion USD by Canary Media. Fervo's Q2 8-K says gross proceeds were approximately 2.2 billion USD. Neither source says why the figures differ. Fervo reported a Q2 2026 net loss of 55.9 million USD and Q2 capital spending of 226.5 million USD. (not confirmed: 2.2, 2026, 55.9, 226.5)</t>
          </r>
        </is>
      </c>
    </row>
    <row r="41">
      <c r="B41" s="5" t="inlineStr">
        <is>
          <t>Item</t>
        </is>
      </c>
      <c r="C41" s="5" t="inlineStr">
        <is>
          <t>Figure</t>
        </is>
      </c>
      <c r="D41" s="5" t="inlineStr">
        <is>
          <t>Source</t>
        </is>
      </c>
    </row>
    <row r="42">
      <c r="B42" s="6" t="inlineStr">
        <is>
          <t>IPO proceeds, Bloomberg</t>
        </is>
      </c>
      <c r="C42" s="6" t="inlineStr">
        <is>
          <t>1.89 billion USD</t>
        </is>
      </c>
      <c r="D42" s="6" t="inlineStr">
        <is>
          <t>S13</t>
        </is>
      </c>
    </row>
    <row r="43">
      <c r="B43" s="7" t="inlineStr">
        <is>
          <t>IPO proceeds, Canary Media</t>
        </is>
      </c>
      <c r="C43" s="7" t="inlineStr">
        <is>
          <t>1.9 billion USD</t>
        </is>
      </c>
      <c r="D43" s="7" t="inlineStr">
        <is>
          <t>S11</t>
        </is>
      </c>
    </row>
    <row r="44">
      <c r="B44" s="6" t="inlineStr">
        <is>
          <t>not confirmed</t>
        </is>
      </c>
      <c r="C44" s="6" t="inlineStr">
        <is>
          <t>not confirmed</t>
        </is>
      </c>
      <c r="D44" s="6" t="inlineStr">
        <is>
          <t>S50</t>
        </is>
      </c>
    </row>
    <row r="45">
      <c r="B45" s="7" t="inlineStr">
        <is>
          <t>not confirmed</t>
        </is>
      </c>
      <c r="C45" s="7" t="inlineStr">
        <is>
          <t>not confirmed</t>
        </is>
      </c>
      <c r="D45" s="7" t="inlineStr">
        <is>
          <t>S50</t>
        </is>
      </c>
    </row>
    <row r="46">
      <c r="B46" s="6" t="inlineStr">
        <is>
          <t>not confirmed</t>
        </is>
      </c>
      <c r="C46" s="6" t="inlineStr">
        <is>
          <t>not confirmed</t>
        </is>
      </c>
      <c r="D46" s="6" t="inlineStr">
        <is>
          <t>S50</t>
        </is>
      </c>
    </row>
    <row r="47" ht="30" customHeight="1">
      <c r="B47" s="4" t="inlineStr">
        <is>
          <r>
            <rPr>
              <rFont val="Calibri"/>
              <b val="1"/>
              <i val="1"/>
              <color rgb="00808080"/>
              <sz val="10"/>
            </rPr>
            <t xml:space="preserve">Source(s): </t>
          </r>
          <r>
            <rPr>
              <rFont val="Calibri"/>
              <i val="1"/>
              <color rgb="00808080"/>
              <sz val="10"/>
            </rPr>
            <t>S13 Geothermal Energy Developer Fervo Raises $1.89 Billion in US; S11 Fervo Energy’s IPO is a milestone for next-gen geothermal; S50 Fervo Energy Co - Form 8-K - FY2026</t>
          </r>
        </is>
      </c>
    </row>
    <row r="49" ht="20" customHeight="1">
      <c r="B49" s="3" t="inlineStr">
        <is>
          <t>(4) DRILLING COST IS THE CASE FOR BETTER MAPS</t>
        </is>
      </c>
    </row>
    <row r="50" ht="60" customHeight="1">
      <c r="B50" s="4" t="inlineStr">
        <is>
          <r>
            <rPr>
              <rFont val="Calibri"/>
              <b val="1"/>
              <color rgb="002E2D29"/>
              <sz val="10"/>
            </rPr>
            <t xml:space="preserve">Fact: </t>
          </r>
          <r>
            <rPr>
              <rFont val="Calibri"/>
              <color rgb="002E2D29"/>
              <sz val="10"/>
            </rPr>
            <t>Drilling is about 35-40% of total capital cost in a geothermal project. NREL says exploration, confirmation and production drilling can be nearly half of project cost. The NREL page shows a 25% exploration success rate in one parameter case; it is an old page. A sourced figure for how much mapping improves the success rate is not disclosed. (not confirmed: 35, 40, 25)</t>
          </r>
        </is>
      </c>
    </row>
    <row r="51">
      <c r="B51" s="5" t="inlineStr">
        <is>
          <t>Measure</t>
        </is>
      </c>
      <c r="C51" s="5" t="inlineStr">
        <is>
          <t>Figure</t>
        </is>
      </c>
      <c r="D51" s="5" t="inlineStr">
        <is>
          <t>Source</t>
        </is>
      </c>
    </row>
    <row r="52">
      <c r="B52" s="6" t="inlineStr">
        <is>
          <t>Drilling share of capital cost</t>
        </is>
      </c>
      <c r="C52" s="6" t="inlineStr">
        <is>
          <t>not confirmed</t>
        </is>
      </c>
      <c r="D52" s="6" t="inlineStr">
        <is>
          <t>S65</t>
        </is>
      </c>
    </row>
    <row r="53">
      <c r="B53" s="7" t="inlineStr">
        <is>
          <t>Drilling share of project cost, NREL</t>
        </is>
      </c>
      <c r="C53" s="7" t="inlineStr">
        <is>
          <t>nearly half</t>
        </is>
      </c>
      <c r="D53" s="7" t="inlineStr">
        <is>
          <t>S62</t>
        </is>
      </c>
    </row>
    <row r="54">
      <c r="B54" s="6" t="inlineStr">
        <is>
          <t>Exploration success rate, one case</t>
        </is>
      </c>
      <c r="C54" s="6" t="inlineStr">
        <is>
          <t>not confirmed</t>
        </is>
      </c>
      <c r="D54" s="6" t="inlineStr">
        <is>
          <t>S62</t>
        </is>
      </c>
    </row>
    <row r="55">
      <c r="B55" s="7" t="inlineStr">
        <is>
          <t>Exploration duration, one case</t>
        </is>
      </c>
      <c r="C55" s="7" t="inlineStr">
        <is>
          <t>not confirmed</t>
        </is>
      </c>
      <c r="D55" s="7" t="inlineStr">
        <is>
          <t>S62</t>
        </is>
      </c>
    </row>
    <row r="56" ht="15" customHeight="1">
      <c r="B56" s="4" t="inlineStr">
        <is>
          <r>
            <rPr>
              <rFont val="Calibri"/>
              <b val="1"/>
              <i val="1"/>
              <color rgb="00808080"/>
              <sz val="10"/>
            </rPr>
            <t xml:space="preserve">Source(s): </t>
          </r>
          <r>
            <rPr>
              <rFont val="Calibri"/>
              <i val="1"/>
              <color rgb="00808080"/>
              <sz val="10"/>
            </rPr>
            <t>S65 Exploration Technique: Production Wells; S62 Drilling Down into the Cost of Geothermal Energy</t>
          </r>
        </is>
      </c>
    </row>
    <row r="58" ht="20" customHeight="1">
      <c r="B58" s="3" t="inlineStr">
        <is>
          <t>(5) CAPACITY OUTLOOKS SIT FAR ABOVE THE INSTALLED BASE</t>
        </is>
      </c>
    </row>
    <row r="59" ht="45" customHeight="1">
      <c r="B59" s="4" t="inlineStr">
        <is>
          <r>
            <rPr>
              <rFont val="Calibri"/>
              <b val="1"/>
              <color rgb="002E2D29"/>
              <sz val="10"/>
            </rPr>
            <t xml:space="preserve">Fact: </t>
          </r>
          <r>
            <rPr>
              <rFont val="Calibri"/>
              <color rgb="002E2D29"/>
              <sz val="10"/>
            </rPr>
            <t>DOE projects US geothermal could rise from the current 16 GW to 38 GW by 2035 and 90 GW by 2050 if EGS costs keep falling. The 2019 GeoVision report gave 60 GW by 2050, against about 6 GW in the business-as-usual case. The CRS figure of 16 GW does not match the 4049.2 MW operating in EIA-860M; the two are not reconciled. (not confirmed: 16, 38, 2035, 90)</t>
          </r>
        </is>
      </c>
    </row>
    <row r="60">
      <c r="B60" s="5" t="inlineStr">
        <is>
          <t>Outlook</t>
        </is>
      </c>
      <c r="C60" s="5" t="inlineStr">
        <is>
          <t>Figure</t>
        </is>
      </c>
      <c r="D60" s="5" t="inlineStr">
        <is>
          <t>Source</t>
        </is>
      </c>
    </row>
    <row r="61">
      <c r="B61" s="6" t="inlineStr">
        <is>
          <t>not confirmed</t>
        </is>
      </c>
      <c r="C61" s="6" t="inlineStr">
        <is>
          <t>not confirmed</t>
        </is>
      </c>
      <c r="D61" s="6" t="inlineStr">
        <is>
          <t>S32</t>
        </is>
      </c>
    </row>
    <row r="62">
      <c r="B62" s="7" t="inlineStr">
        <is>
          <t>not confirmed</t>
        </is>
      </c>
      <c r="C62" s="7" t="inlineStr">
        <is>
          <t>not confirmed</t>
        </is>
      </c>
      <c r="D62" s="7" t="inlineStr">
        <is>
          <t>S32</t>
        </is>
      </c>
    </row>
    <row r="63">
      <c r="B63" s="6" t="inlineStr">
        <is>
          <t>not confirmed</t>
        </is>
      </c>
      <c r="C63" s="6" t="inlineStr">
        <is>
          <t>not confirmed</t>
        </is>
      </c>
      <c r="D63" s="6" t="inlineStr">
        <is>
          <t>S33, S34</t>
        </is>
      </c>
    </row>
    <row r="64">
      <c r="B64" s="7" t="inlineStr">
        <is>
          <t>GeoVision business-as-usual</t>
        </is>
      </c>
      <c r="C64" s="7" t="inlineStr">
        <is>
          <t>not confirmed</t>
        </is>
      </c>
      <c r="D64" s="7" t="inlineStr">
        <is>
          <t>S33, S34</t>
        </is>
      </c>
    </row>
    <row r="65">
      <c r="B65" s="6" t="inlineStr">
        <is>
          <t>not confirmed</t>
        </is>
      </c>
      <c r="C65" s="6" t="inlineStr">
        <is>
          <t>4049.2 MW</t>
        </is>
      </c>
      <c r="D65" s="6" t="inlineStr">
        <is>
          <t>E8</t>
        </is>
      </c>
    </row>
    <row r="66" ht="30" customHeight="1">
      <c r="B66" s="4" t="inlineStr">
        <is>
          <r>
            <rPr>
              <rFont val="Calibri"/>
              <b val="1"/>
              <i val="1"/>
              <color rgb="00808080"/>
              <sz val="10"/>
            </rPr>
            <t xml:space="preserve">Source(s): </t>
          </r>
          <r>
            <rPr>
              <rFont val="Calibri"/>
              <i val="1"/>
              <color rgb="00808080"/>
              <sz val="10"/>
            </rPr>
            <t>S32 Enhanced Geothermal Systems (EGS): Frequently Asked Question; S33 Chapter 4; S34 Chapter 5; E8 ERW table eia860m_operating_generators</t>
          </r>
        </is>
      </c>
    </row>
  </sheetData>
  <mergeCells count="15">
    <mergeCell ref="B56:I56"/>
    <mergeCell ref="B58:I58"/>
    <mergeCell ref="B30:I30"/>
    <mergeCell ref="B29:I29"/>
    <mergeCell ref="B39:I39"/>
    <mergeCell ref="B50:I50"/>
    <mergeCell ref="B47:I47"/>
    <mergeCell ref="B59:I59"/>
    <mergeCell ref="B5:I5"/>
    <mergeCell ref="B37:I37"/>
    <mergeCell ref="B66:I66"/>
    <mergeCell ref="B27:I27"/>
    <mergeCell ref="B49:I49"/>
    <mergeCell ref="B4:I4"/>
    <mergeCell ref="B40:I4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1:J15"/>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Landscape</t>
        </is>
      </c>
    </row>
    <row r="2">
      <c r="B2" s="2" t="inlineStr">
        <is>
          <t>subsurface heat mapping for geothermal</t>
        </is>
      </c>
    </row>
    <row r="4" ht="20" customHeight="1">
      <c r="B4" s="3" t="inlineStr">
        <is>
          <t>(1) COMPANIES</t>
        </is>
      </c>
    </row>
    <row r="5" ht="15" customHeight="1">
      <c r="B5" s="4" t="inlineStr">
        <is>
          <r>
            <rPr>
              <rFont val="Calibri"/>
              <b val="1"/>
              <color rgb="002E2D29"/>
              <sz val="10"/>
            </rPr>
            <t xml:space="preserve">Fact: </t>
          </r>
          <r>
            <rPr>
              <rFont val="Calibri"/>
              <color rgb="002E2D29"/>
              <sz val="10"/>
            </rPr>
            <t>US operating geothermal nameplate capacity is 4049.2 MW across 163 generators (eia860m_operating_generators).</t>
          </r>
        </is>
      </c>
    </row>
    <row r="6">
      <c r="B6" s="5" t="inlineStr">
        <is>
          <t>Company</t>
        </is>
      </c>
      <c r="C6" s="5" t="inlineStr">
        <is>
          <t>What it does</t>
        </is>
      </c>
      <c r="D6" s="5" t="inlineStr">
        <is>
          <t>Founders</t>
        </is>
      </c>
      <c r="E6" s="5" t="inlineStr">
        <is>
          <t>Stage</t>
        </is>
      </c>
      <c r="F6" s="5" t="inlineStr">
        <is>
          <t>Raised</t>
        </is>
      </c>
      <c r="G6" s="5" t="inlineStr">
        <is>
          <t>Location</t>
        </is>
      </c>
      <c r="H6" s="5" t="inlineStr">
        <is>
          <t>Signal</t>
        </is>
      </c>
      <c r="I6" s="5" t="inlineStr">
        <is>
          <t>Sources</t>
        </is>
      </c>
      <c r="J6" s="5" t="inlineStr">
        <is>
          <t>Confidence (0 to 100)</t>
        </is>
      </c>
    </row>
    <row r="7">
      <c r="B7" s="6" t="inlineStr">
        <is>
          <t>Zanskar Geothermal &amp; Minerals</t>
        </is>
      </c>
      <c r="C7" s="6" t="inlineStr">
        <is>
          <t>It finds and develops conventional geothermal fields using AI models of the subsurface.</t>
        </is>
      </c>
      <c r="D7" s="6" t="inlineStr">
        <is>
          <t>Carl Hoiland (CEO) and Joel Edwards (CTO)</t>
        </is>
      </c>
      <c r="E7" s="6" t="inlineStr">
        <is>
          <t>Series C, expanded</t>
        </is>
      </c>
      <c r="F7" s="6" t="inlineStr">
        <is>
          <t>$115M Series C (2026-01-21) and total equity of $180M; it also closed $40M of development capital (2026-04-16) (not confirmed: 21, 180, 4, 16)</t>
        </is>
      </c>
      <c r="G7" s="6" t="inlineStr">
        <is>
          <t>Salt Lake City, Utah</t>
        </is>
      </c>
      <c r="H7" s="6" t="inlineStr">
        <is>
          <t>DOE exploration-drilling award, reported 2026-09-22</t>
        </is>
      </c>
      <c r="I7" s="6" t="inlineStr">
        <is>
          <t>S1, S3, S80, S83, S249, S282, E29, E30</t>
        </is>
      </c>
      <c r="J7" s="6" t="inlineStr">
        <is>
          <t>80: 3 independent sources, latest 2026; stage not confirmed and raised not confirmed by a primary source</t>
        </is>
      </c>
    </row>
    <row r="8">
      <c r="B8" s="7" t="inlineStr">
        <is>
          <t>Project InnerSpace</t>
        </is>
      </c>
      <c r="C8" s="7" t="inlineStr">
        <is>
          <t>This nonprofit builds GeoMap, a free geothermal exploration tool.</t>
        </is>
      </c>
      <c r="D8" s="7" t="inlineStr">
        <is>
          <t>not disclosed</t>
        </is>
      </c>
      <c r="E8" s="7" t="inlineStr">
        <is>
          <t>Nonprofit</t>
        </is>
      </c>
      <c r="F8" s="7" t="inlineStr">
        <is>
          <t>$16.6M in research investments to date, self-reported (not confirmed: 16.6)</t>
        </is>
      </c>
      <c r="G8" s="7" t="inlineStr">
        <is>
          <t>not disclosed</t>
        </is>
      </c>
      <c r="H8" s="7" t="inlineStr">
        <is>
          <t>The GeoMap North America module was released after a beta in December 2023 that focused on Africa. It is free.</t>
        </is>
      </c>
      <c r="I8" s="7" t="inlineStr">
        <is>
          <t>S169, E29</t>
        </is>
      </c>
      <c r="J8" s="7" t="inlineStr">
        <is>
          <t>60: 2 independent sources, latest 2026; stage not confirmed and raised not confirmed by a primary source</t>
        </is>
      </c>
    </row>
    <row r="9">
      <c r="B9" s="6" t="inlineStr">
        <is>
          <t>Sage Geosystems</t>
        </is>
      </c>
      <c r="C9" s="6" t="inlineStr">
        <is>
          <t>It develops geopressured geothermal systems that use oilfield technology and equipment.</t>
        </is>
      </c>
      <c r="D9" s="6" t="inlineStr">
        <is>
          <t>Cindy Taff (CEO), Lev Ring (President), Lance Cook (CTO)</t>
        </is>
      </c>
      <c r="E9" s="6" t="inlineStr">
        <is>
          <t>Series B</t>
        </is>
      </c>
      <c r="F9" s="6" t="inlineStr">
        <is>
          <t>Over $97M, co-led by Ormat and Carbon Direct Capital (2026-01-22) (not confirmed: 22)</t>
        </is>
      </c>
      <c r="G9" s="6" t="inlineStr">
        <is>
          <t>not disclosed</t>
        </is>
      </c>
      <c r="H9" s="6" t="inlineStr">
        <is>
          <t>The Series B. The plant will be built at an existing Ormat site.</t>
        </is>
      </c>
      <c r="I9" s="6" t="inlineStr">
        <is>
          <t>S121, S123, S125, S127, E29</t>
        </is>
      </c>
      <c r="J9" s="6" t="inlineStr">
        <is>
          <t>100: 3 independent sources, latest 2026; stage confirmed and raised confirmed by a primary source</t>
        </is>
      </c>
    </row>
    <row r="10">
      <c r="B10" s="7" t="inlineStr">
        <is>
          <t>Quaise Energy</t>
        </is>
      </c>
      <c r="C10" s="7" t="inlineStr">
        <is>
          <t>It is developing millimeter-wave deep drilling to reach superhot rock.</t>
        </is>
      </c>
      <c r="D10" s="7" t="inlineStr">
        <is>
          <t>Carlos Araque (CEO), spun out of MIT in 2018</t>
        </is>
      </c>
      <c r="E10" s="7" t="inlineStr">
        <is>
          <t>Series B</t>
        </is>
      </c>
      <c r="F10" s="7" t="inlineStr">
        <is>
          <t>$180M Series B final close (2026-08-27), with $35M from Nabors; total funding $280M; first close was $134M (2026-07-07) (not confirmed: 8, 27, 35, 280)</t>
        </is>
      </c>
      <c r="G10" s="7" t="inlineStr">
        <is>
          <t>Houston</t>
        </is>
      </c>
      <c r="H10" s="7" t="inlineStr">
        <is>
          <t>The Nabors investment and framework agreement.</t>
        </is>
      </c>
      <c r="I10" s="7" t="inlineStr">
        <is>
          <t>S23, S29, S30, E29, E30</t>
        </is>
      </c>
      <c r="J10" s="7" t="inlineStr">
        <is>
          <t>100: 3 independent sources, latest 2026; stage confirmed and raised confirmed by a primary source</t>
        </is>
      </c>
    </row>
    <row r="11">
      <c r="B11" s="6" t="inlineStr">
        <is>
          <t>XGS Energy</t>
        </is>
      </c>
      <c r="C11" s="6" t="inlineStr">
        <is>
          <t>It drills one directional well into rock at 250 C or hotter and pulls heat in through conductive material.</t>
        </is>
      </c>
      <c r="D11" s="6" t="inlineStr">
        <is>
          <t>not disclosed</t>
        </is>
      </c>
      <c r="E11" s="6" t="inlineStr">
        <is>
          <t>Series A (extended)</t>
        </is>
      </c>
      <c r="F11" s="6" t="inlineStr">
        <is>
          <t>$56.7M across 4 rounds; a $13M add-on was announced in March 2025 (not confirmed: 56.7, 4, 13, 2025)</t>
        </is>
      </c>
      <c r="G11" s="6" t="inlineStr">
        <is>
          <t>not disclosed</t>
        </is>
      </c>
      <c r="H11" s="6" t="inlineStr">
        <is>
          <t>DOE selection (2026-09-28) to drill a deep appraisal well in New Mexico.</t>
        </is>
      </c>
      <c r="I11" s="6" t="inlineStr">
        <is>
          <t>S138, E29</t>
        </is>
      </c>
      <c r="J11" s="6" t="inlineStr">
        <is>
          <t>60: 2 independent sources, latest 2026; stage not confirmed and raised not confirmed by a primary source</t>
        </is>
      </c>
    </row>
    <row r="12">
      <c r="B12" s="7" t="inlineStr">
        <is>
          <t>Mazama Energy</t>
        </is>
      </c>
      <c r="C12" s="7" t="inlineStr">
        <is>
          <t>It is developing superhot rock geothermal at Newberry, Oregon.</t>
        </is>
      </c>
      <c r="D12" s="7" t="inlineStr">
        <is>
          <t>not disclosed</t>
        </is>
      </c>
      <c r="E12" s="7" t="inlineStr">
        <is>
          <t>Series B</t>
        </is>
      </c>
      <c r="F12" s="7" t="inlineStr">
        <is>
          <t>$135M of new capital, including an oversubscribed Series B (reported 2026-09-17) (not confirmed: 2026, 9, 17)</t>
        </is>
      </c>
      <c r="G12" s="7" t="inlineStr">
        <is>
          <t>not disclosed</t>
        </is>
      </c>
      <c r="H12" s="7" t="inlineStr">
        <is>
          <t>Project Ceres, supported by DOE. It aims for 15 MWe per well and power by 2027.</t>
        </is>
      </c>
      <c r="I12" s="7" t="inlineStr">
        <is>
          <t>S101, S103</t>
        </is>
      </c>
      <c r="J12" s="7" t="inlineStr">
        <is>
          <t>60: 2 independent sources, latest 2026; stage not confirmed and raised not confirmed by a primary source</t>
        </is>
      </c>
    </row>
    <row r="13">
      <c r="B13" s="6" t="inlineStr">
        <is>
          <t>Mantle Reach Power</t>
        </is>
      </c>
      <c r="C13" s="6" t="inlineStr">
        <is>
          <t>It is a geothermal developer backed by EnCap Energy Transition Fund III.</t>
        </is>
      </c>
      <c r="D13" s="6" t="inlineStr">
        <is>
          <t>not disclosed</t>
        </is>
      </c>
      <c r="E13" s="6" t="inlineStr">
        <is>
          <t>Backed by EnCap; amount not disclosed</t>
        </is>
      </c>
      <c r="F13" s="6" t="inlineStr">
        <is>
          <t>not disclosed</t>
        </is>
      </c>
      <c r="G13" s="6" t="inlineStr">
        <is>
          <t>not disclosed</t>
        </is>
      </c>
      <c r="H13" s="6" t="inlineStr">
        <is>
          <t>Baker Hughes agreement (2026-06-24) targeting up to 500 MW in five years.</t>
        </is>
      </c>
      <c r="I13" s="6" t="inlineStr">
        <is>
          <t>S203, E32</t>
        </is>
      </c>
      <c r="J13" s="6" t="inlineStr">
        <is>
          <t>70: 2 independent sources, latest 2026; stage confirmed and raised not confirmed by a primary source</t>
        </is>
      </c>
    </row>
    <row r="14">
      <c r="B14" s="7" t="inlineStr">
        <is>
          <t>Eavor Technologies</t>
        </is>
      </c>
      <c r="C14" s="7" t="inlineStr">
        <is>
          <t>It builds closed-loop geothermal, the Eavor-Loop.</t>
        </is>
      </c>
      <c r="D14" s="7" t="inlineStr">
        <is>
          <t>not disclosed</t>
        </is>
      </c>
      <c r="E14" s="7" t="inlineStr">
        <is>
          <t>Equity round</t>
        </is>
      </c>
      <c r="F14" s="7" t="inlineStr">
        <is>
          <t>$182M, in Canadian dollars per ThinkGeoEnergy</t>
        </is>
      </c>
      <c r="G14" s="7" t="inlineStr">
        <is>
          <t>Canada, per its Canada Growth Fund link</t>
        </is>
      </c>
      <c r="H14" s="7" t="inlineStr">
        <is>
          <t>OMV-led round. Its first full-scale project is in Geretsried, Germany.</t>
        </is>
      </c>
      <c r="I14" s="7" t="inlineStr">
        <is>
          <t>S157, S159, S164</t>
        </is>
      </c>
      <c r="J14" s="7" t="inlineStr">
        <is>
          <t>50: 2 independent sources, latest 2023; stage not confirmed and raised not confirmed by a primary source</t>
        </is>
      </c>
    </row>
    <row r="15" ht="180" customHeight="1">
      <c r="B15" s="4" t="inlineStr">
        <is>
          <r>
            <rPr>
              <rFont val="Calibri"/>
              <b val="1"/>
              <i val="1"/>
              <color rgb="00808080"/>
              <sz val="10"/>
            </rPr>
            <t xml:space="preserve">Source(s): </t>
          </r>
          <r>
            <rPr>
              <rFont val="Calibri"/>
              <i val="1"/>
              <color rgb="00808080"/>
              <sz val="10"/>
            </rPr>
            <t xml:space="preserve">S1 Zanskar raises $115M to support expansion of AI-based geothe; S3 O’Melveny Advises Zanskar on US$115M Series C Funding - O'Me; S80 Zanskar Raises $115 Million to Propel Geothermal Discoveries; S83 Old-School Geothermal Is Due for a Comeback, Says AI Startup; S249 Zanskar Closes $40M in Novel Development Capital Financing, ; S282 Department of Energy awards funding to Utah geothermal proje; E29 ERW table energy_companies; E30 ERW table energy_companies; S169 Project Innerspace launches GeoMap geothermal prospecting to; S121 Sage Geosystems closes $97 million Series B funding round to; S123 Meta-backed geothermal firm Sage closes $97m funding round, ; S125 Sage Geosystems Raises Over $97 Million To Deploy World’s Fi; S127 Ormat Technologies Announces Co-Lead of Series B Investment ; S23 MITEI spinout Quaise raises $180 million; S29 Quaise Energy; S30 Quaise Energy Raises $134 Million in Initial Close of Series; S138 XGS Energy Selected by U.S. DOE to Advance Next-Generation G; S101 Exclusive: Mazama Energy raises $135M for superhot geotherma; S103 Mazama Energy raises $135M to support commercial-scale super; S203 Baker Hughes and Mantle Reach Power, an EnCap Energy Transit; E32 ERW table energy_companies; S157 Eavor receives over €130M in financing for Geretsried geothe; S159 Eavor completes $182 million equity round to advance closed-; S164 Canada Growth Fund announces additional investment in Eavor </t>
          </r>
        </is>
      </c>
    </row>
  </sheetData>
  <mergeCells count="3">
    <mergeCell ref="B5:I5"/>
    <mergeCell ref="B4:I4"/>
    <mergeCell ref="B15:I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8"/>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Capital</t>
        </is>
      </c>
    </row>
    <row r="2">
      <c r="B2" s="2" t="inlineStr">
        <is>
          <t>subsurface heat mapping for geothermal</t>
        </is>
      </c>
    </row>
    <row r="4" ht="20" customHeight="1">
      <c r="B4" s="3" t="inlineStr">
        <is>
          <t>(1) ROUNDS, PROJECT FINANCE AND M&amp;A</t>
        </is>
      </c>
    </row>
    <row r="5" ht="30" customHeight="1">
      <c r="B5" s="4" t="inlineStr">
        <is>
          <r>
            <rPr>
              <rFont val="Calibri"/>
              <b val="1"/>
              <color rgb="002E2D29"/>
              <sz val="10"/>
            </rPr>
            <t xml:space="preserve">Fact: </t>
          </r>
          <r>
            <rPr>
              <rFont val="Calibri"/>
              <color rgb="002E2D29"/>
              <sz val="10"/>
            </rPr>
            <t>Zanskar, the one core subsurface-mapping company with a dated round, raised a 115 million USD Series C led by Spring Lane Capital. Rows below are limited to rounds whose date and investor names appear in the cited passages.</t>
          </r>
        </is>
      </c>
    </row>
    <row r="6">
      <c r="B6" s="5" t="inlineStr">
        <is>
          <t>Date</t>
        </is>
      </c>
      <c r="C6" s="5" t="inlineStr">
        <is>
          <t>Company</t>
        </is>
      </c>
      <c r="D6" s="5" t="inlineStr">
        <is>
          <t>Kind</t>
        </is>
      </c>
      <c r="E6" s="5" t="inlineStr">
        <is>
          <t>Amount</t>
        </is>
      </c>
      <c r="F6" s="5" t="inlineStr">
        <is>
          <t>Currency</t>
        </is>
      </c>
      <c r="G6" s="5" t="inlineStr">
        <is>
          <t>Investors</t>
        </is>
      </c>
      <c r="H6" s="5" t="inlineStr">
        <is>
          <t>Sources</t>
        </is>
      </c>
    </row>
    <row r="7">
      <c r="B7" s="6" t="inlineStr"/>
      <c r="C7" s="6" t="inlineStr">
        <is>
          <t>Zanskar</t>
        </is>
      </c>
      <c r="D7" s="6" t="inlineStr">
        <is>
          <t>Series C</t>
        </is>
      </c>
      <c r="E7" s="6" t="inlineStr">
        <is>
          <t>115 million USD</t>
        </is>
      </c>
      <c r="F7" s="6" t="inlineStr">
        <is>
          <t>USD</t>
        </is>
      </c>
      <c r="G7" s="6" t="inlineStr"/>
      <c r="H7" s="6" t="inlineStr">
        <is>
          <t>S1, S2</t>
        </is>
      </c>
    </row>
    <row r="8" ht="30" customHeight="1">
      <c r="B8" s="4" t="inlineStr">
        <is>
          <r>
            <rPr>
              <rFont val="Calibri"/>
              <b val="1"/>
              <i val="1"/>
              <color rgb="00808080"/>
              <sz val="10"/>
            </rPr>
            <t xml:space="preserve">Source(s): </t>
          </r>
          <r>
            <rPr>
              <rFont val="Calibri"/>
              <i val="1"/>
              <color rgb="00808080"/>
              <sz val="10"/>
            </rPr>
            <t>S1 Zanskar raises $115M to support expansion of AI-based geothe; S2 Geothermal explorer Zanskar raises USD 115m in Series C roun</t>
          </r>
        </is>
      </c>
    </row>
  </sheetData>
  <mergeCells count="3">
    <mergeCell ref="B8:I8"/>
    <mergeCell ref="B5:I5"/>
    <mergeCell ref="B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I12"/>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Incumbents</t>
        </is>
      </c>
    </row>
    <row r="2">
      <c r="B2" s="2" t="inlineStr">
        <is>
          <t>subsurface heat mapping for geothermal</t>
        </is>
      </c>
    </row>
    <row r="4" ht="20" customHeight="1">
      <c r="B4" s="3" t="inlineStr">
        <is>
          <t>(1) LARGE PLAYERS AND PUBLIC COMPARABLES</t>
        </is>
      </c>
    </row>
    <row r="5" ht="45" customHeight="1">
      <c r="B5" s="4" t="inlineStr">
        <is>
          <r>
            <rPr>
              <rFont val="Calibri"/>
              <b val="1"/>
              <color rgb="002E2D29"/>
              <sz val="10"/>
            </rPr>
            <t xml:space="preserve">Fact: </t>
          </r>
          <r>
            <rPr>
              <rFont val="Calibri"/>
              <color rgb="002E2D29"/>
              <sz val="10"/>
            </rPr>
            <t>Ormat reported Q2 2026 total revenue of $258.8M. Baker Hughes and Nabors are tied to geothermal drilling and subsurface work. No equities table exists in the warehouse, so the metrics come from filings and press releases. (not confirmed: 2026, 258.8)</t>
          </r>
        </is>
      </c>
    </row>
    <row r="6">
      <c r="B6" s="5" t="inlineStr">
        <is>
          <t>Name</t>
        </is>
      </c>
      <c r="C6" s="5" t="inlineStr">
        <is>
          <t>Kind</t>
        </is>
      </c>
      <c r="D6" s="5" t="inlineStr">
        <is>
          <t>Ticker</t>
        </is>
      </c>
      <c r="E6" s="5" t="inlineStr">
        <is>
          <t>Metric that matters</t>
        </is>
      </c>
      <c r="F6" s="5" t="inlineStr">
        <is>
          <t>Value</t>
        </is>
      </c>
      <c r="G6" s="5" t="inlineStr">
        <is>
          <t>As of</t>
        </is>
      </c>
      <c r="H6" s="5" t="inlineStr">
        <is>
          <t>Sources</t>
        </is>
      </c>
    </row>
    <row r="7">
      <c r="B7" s="6" t="inlineStr">
        <is>
          <t>Ormat Technologies</t>
        </is>
      </c>
      <c r="C7" s="6" t="inlineStr">
        <is>
          <t>public company</t>
        </is>
      </c>
      <c r="D7" s="6" t="inlineStr">
        <is>
          <t>NYSE: ORA</t>
        </is>
      </c>
      <c r="E7" s="6" t="inlineStr">
        <is>
          <t>Q2 2026 total revenue</t>
        </is>
      </c>
      <c r="F7" s="6" t="inlineStr">
        <is>
          <t>$258.8M</t>
        </is>
      </c>
      <c r="G7" s="6" t="inlineStr">
        <is>
          <t>Q2 2026</t>
        </is>
      </c>
      <c r="H7" s="6" t="inlineStr">
        <is>
          <t>S225, S223</t>
        </is>
      </c>
    </row>
    <row r="8">
      <c r="B8" s="7" t="inlineStr">
        <is>
          <t>Fervo Energy</t>
        </is>
      </c>
      <c r="C8" s="7" t="inlineStr">
        <is>
          <t>public company</t>
        </is>
      </c>
      <c r="D8" s="7" t="inlineStr">
        <is>
          <t>Nasdaq: FRVO</t>
        </is>
      </c>
      <c r="E8" s="7" t="inlineStr">
        <is>
          <t>Q2 2026 net loss</t>
        </is>
      </c>
      <c r="F8" s="7" t="inlineStr">
        <is>
          <t>not confirmed</t>
        </is>
      </c>
      <c r="G8" s="7" t="inlineStr">
        <is>
          <t>Q2 2026</t>
        </is>
      </c>
      <c r="H8" s="7" t="inlineStr">
        <is>
          <t>S50</t>
        </is>
      </c>
    </row>
    <row r="9">
      <c r="B9" s="6" t="inlineStr">
        <is>
          <t>Baker Hughes</t>
        </is>
      </c>
      <c r="C9" s="6" t="inlineStr">
        <is>
          <t>public company</t>
        </is>
      </c>
      <c r="D9" s="6" t="inlineStr">
        <is>
          <t>NASDAQ: BKR</t>
        </is>
      </c>
      <c r="E9" s="6" t="inlineStr">
        <is>
          <t>Mantle Reach Power agreement target</t>
        </is>
      </c>
      <c r="F9" s="6" t="inlineStr">
        <is>
          <t>not confirmed</t>
        </is>
      </c>
      <c r="G9" s="6" t="inlineStr">
        <is>
          <t>2026-06-24</t>
        </is>
      </c>
      <c r="H9" s="6" t="inlineStr">
        <is>
          <t>S203</t>
        </is>
      </c>
    </row>
    <row r="10">
      <c r="B10" s="7" t="inlineStr">
        <is>
          <t>Nabors Industries</t>
        </is>
      </c>
      <c r="C10" s="7" t="inlineStr">
        <is>
          <t>public company</t>
        </is>
      </c>
      <c r="D10" s="7" t="inlineStr">
        <is>
          <t>NYSE: NBR</t>
        </is>
      </c>
      <c r="E10" s="7" t="inlineStr">
        <is>
          <t>Investment in Quaise Series B</t>
        </is>
      </c>
      <c r="F10" s="7" t="inlineStr">
        <is>
          <t>not confirmed</t>
        </is>
      </c>
      <c r="G10" s="7" t="inlineStr">
        <is>
          <t>2026-08-27</t>
        </is>
      </c>
      <c r="H10" s="7" t="inlineStr">
        <is>
          <t>S29</t>
        </is>
      </c>
    </row>
    <row r="11">
      <c r="B11" s="6" t="inlineStr">
        <is>
          <t>SLB</t>
        </is>
      </c>
      <c r="C11" s="6" t="inlineStr">
        <is>
          <t>public company</t>
        </is>
      </c>
      <c r="D11" s="6" t="inlineStr">
        <is>
          <t>not disclosed</t>
        </is>
      </c>
      <c r="E11" s="6" t="inlineStr">
        <is>
          <t>not disclosed</t>
        </is>
      </c>
      <c r="F11" s="6" t="inlineStr">
        <is>
          <t>not disclosed</t>
        </is>
      </c>
      <c r="G11" s="6" t="inlineStr">
        <is>
          <t>not disclosed</t>
        </is>
      </c>
      <c r="H11" s="6" t="inlineStr">
        <is>
          <t>S270</t>
        </is>
      </c>
    </row>
    <row r="12" ht="45" customHeight="1">
      <c r="B12" s="4" t="inlineStr">
        <is>
          <r>
            <rPr>
              <rFont val="Calibri"/>
              <b val="1"/>
              <i val="1"/>
              <color rgb="00808080"/>
              <sz val="10"/>
            </rPr>
            <t xml:space="preserve">Source(s): </t>
          </r>
          <r>
            <rPr>
              <rFont val="Calibri"/>
              <i val="1"/>
              <color rgb="00808080"/>
              <sz val="10"/>
            </rPr>
            <t>S225 Ormat Technologies Inc. - Ormat Technologies Reports Second ; S223 Ormat Technologies Q2 2026 Revenue Rises 11% to $258.8 Milli; S50 Fervo Energy Co - Form 8-K - FY2026; S203 Baker Hughes and Mantle Reach Power, an EnCap Energy Transit; S29 Quaise Energy; S270 Geothermal Exploration Drilling</t>
          </r>
        </is>
      </c>
    </row>
  </sheetData>
  <mergeCells count="3">
    <mergeCell ref="B12:I12"/>
    <mergeCell ref="B5:I5"/>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I8"/>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Policy</t>
        </is>
      </c>
    </row>
    <row r="2">
      <c r="B2" s="2" t="inlineStr">
        <is>
          <t>subsurface heat mapping for geothermal</t>
        </is>
      </c>
    </row>
    <row r="4" ht="20" customHeight="1">
      <c r="B4" s="3" t="inlineStr">
        <is>
          <t>(1) POLICY ACTIONS (ERW TABLES POLICY_ACTIONS AND POLICY_READS)</t>
        </is>
      </c>
    </row>
    <row r="5" ht="30" customHeight="1">
      <c r="B5" s="4" t="inlineStr">
        <is>
          <r>
            <rPr>
              <rFont val="Calibri"/>
              <b val="1"/>
              <color rgb="002E2D29"/>
              <sz val="10"/>
            </rPr>
            <t xml:space="preserve">Fact: </t>
          </r>
          <r>
            <rPr>
              <rFont val="Calibri"/>
              <color rgb="002E2D29"/>
              <sz val="10"/>
            </rPr>
            <t>One candidate action bears on the niche: DOE's 2026-09-21 announcement of 99 million USD for 21 geothermal projects. The LNG export notices and unrelated land notices do not bear on it.</t>
          </r>
        </is>
      </c>
    </row>
    <row r="6">
      <c r="B6" s="5" t="inlineStr">
        <is>
          <t>Date</t>
        </is>
      </c>
      <c r="C6" s="5" t="inlineStr">
        <is>
          <t>Agency</t>
        </is>
      </c>
      <c r="D6" s="5" t="inlineStr">
        <is>
          <t>Type</t>
        </is>
      </c>
      <c r="E6" s="5" t="inlineStr">
        <is>
          <t>Title</t>
        </is>
      </c>
      <c r="F6" s="5" t="inlineStr">
        <is>
          <t>Read (policy_reads) or why it matters</t>
        </is>
      </c>
      <c r="G6" s="5" t="inlineStr">
        <is>
          <t>Link</t>
        </is>
      </c>
    </row>
    <row r="7">
      <c r="B7" s="6" t="inlineStr">
        <is>
          <t>2026-09-21</t>
        </is>
      </c>
      <c r="C7" s="6" t="inlineStr">
        <is>
          <t>DOE</t>
        </is>
      </c>
      <c r="D7" s="6" t="inlineStr">
        <is>
          <t>press release</t>
        </is>
      </c>
      <c r="E7" s="6" t="inlineStr">
        <is>
          <t>Energy Department Announces $99 Million for 21 Projects to Advance U.S. Geothermal Energy Development</t>
        </is>
      </c>
      <c r="F7" s="6" t="inlineStr">
        <is>
          <t>The Department of Energy is giving over $99 million to 21 projects that will test new geothermal energy technologies and drill to find promising underground heat resources. The funding is not final yet, since DOE still has to negotiate with each project and could cancel the deal.</t>
        </is>
      </c>
      <c r="G7" s="6" t="inlineStr">
        <is>
          <t>https://www.energy.gov/articles/energy-department-announces-99-million-21-projects-advance-us-geothermal-energy</t>
        </is>
      </c>
    </row>
    <row r="8" ht="30" customHeight="1">
      <c r="B8" s="4" t="inlineStr">
        <is>
          <r>
            <rPr>
              <rFont val="Calibri"/>
              <b val="1"/>
              <i val="1"/>
              <color rgb="00808080"/>
              <sz val="10"/>
            </rPr>
            <t xml:space="preserve">Source(s): </t>
          </r>
          <r>
            <rPr>
              <rFont val="Calibri"/>
              <i val="1"/>
              <color rgb="00808080"/>
              <sz val="10"/>
            </rPr>
            <t>ERW tables policy_actions (Federal Register and agency news) and policy_reads (impact reads, fields kept only when their words are in the action's own text).</t>
          </r>
        </is>
      </c>
    </row>
  </sheetData>
  <mergeCells count="3">
    <mergeCell ref="B8:I8"/>
    <mergeCell ref="B5:I5"/>
    <mergeCell ref="B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I1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Risks</t>
        </is>
      </c>
    </row>
    <row r="2">
      <c r="B2" s="2" t="inlineStr">
        <is>
          <t>subsurface heat mapping for geothermal</t>
        </is>
      </c>
    </row>
    <row r="4" ht="20" customHeight="1">
      <c r="B4" s="3" t="inlineStr">
        <is>
          <t>(1) MAPPING MAY NOT LOWER DRY-HOLE RISK ENOUGH TO JUSTIFY ITS COST.</t>
        </is>
      </c>
    </row>
    <row r="5" ht="30" customHeight="1">
      <c r="B5" s="4" t="inlineStr">
        <is>
          <r>
            <rPr>
              <rFont val="Calibri"/>
              <b val="1"/>
              <color rgb="002E2D29"/>
              <sz val="10"/>
            </rPr>
            <t xml:space="preserve">Fact: </t>
          </r>
          <r>
            <rPr>
              <rFont val="Calibri"/>
              <color rgb="002E2D29"/>
              <sz val="10"/>
            </rPr>
            <t>SLB says drilling exploration wells without adequate subsurface data can lead to costly failures. TG wells only measure temperature change with depth and do not tap the reservoir, so mapping still has to be checked by drilling.</t>
          </r>
        </is>
      </c>
    </row>
    <row r="6" ht="15" customHeight="1">
      <c r="B6" s="4" t="inlineStr">
        <is>
          <r>
            <rPr>
              <rFont val="Calibri"/>
              <b val="1"/>
              <color rgb="002E2D29"/>
              <sz val="10"/>
            </rPr>
            <t xml:space="preserve">Not known: </t>
          </r>
          <r>
            <rPr>
              <rFont val="Calibri"/>
              <color rgb="002E2D29"/>
              <sz val="10"/>
            </rPr>
            <t>Hit rate of any mapping method; exploration success rate with and without heat mapping: not disclosed.</t>
          </r>
        </is>
      </c>
    </row>
    <row r="7" ht="15" customHeight="1">
      <c r="B7" s="4" t="inlineStr">
        <is>
          <r>
            <rPr>
              <rFont val="Calibri"/>
              <b val="1"/>
              <i val="1"/>
              <color rgb="00808080"/>
              <sz val="10"/>
            </rPr>
            <t xml:space="preserve">Source(s): </t>
          </r>
          <r>
            <rPr>
              <rFont val="Calibri"/>
              <i val="1"/>
              <color rgb="00808080"/>
              <sz val="10"/>
            </rPr>
            <t>S270 Geothermal Exploration Drilling</t>
          </r>
        </is>
      </c>
    </row>
    <row r="9" ht="20" customHeight="1">
      <c r="B9" s="3" t="inlineStr">
        <is>
          <t>(2) DRILLING COST DOMINATES PROJECT COST, SO MAPPING IS ONLY ONE LEVER ON IT.</t>
        </is>
      </c>
    </row>
    <row r="10" ht="30" customHeight="1">
      <c r="B10" s="4" t="inlineStr">
        <is>
          <r>
            <rPr>
              <rFont val="Calibri"/>
              <b val="1"/>
              <color rgb="002E2D29"/>
              <sz val="10"/>
            </rPr>
            <t xml:space="preserve">Fact: </t>
          </r>
          <r>
            <rPr>
              <rFont val="Calibri"/>
              <color rgb="002E2D29"/>
              <sz val="10"/>
            </rPr>
            <t>NREL says exploration, confirmation and production drilling can be nearly half of project cost. The same page shows a 25% exploration success rate for one parameter case. (not confirmed: 25)</t>
          </r>
        </is>
      </c>
    </row>
    <row r="11" ht="15" customHeight="1">
      <c r="B11" s="4" t="inlineStr">
        <is>
          <r>
            <rPr>
              <rFont val="Calibri"/>
              <b val="1"/>
              <color rgb="002E2D29"/>
              <sz val="10"/>
            </rPr>
            <t xml:space="preserve">Not known: </t>
          </r>
          <r>
            <rPr>
              <rFont val="Calibri"/>
              <color rgb="002E2D29"/>
              <sz val="10"/>
            </rPr>
            <t>Which parameter case the 25% belongs to, and how much mapping improves the success rate: not disclosed.</t>
          </r>
        </is>
      </c>
    </row>
    <row r="12" ht="15" customHeight="1">
      <c r="B12" s="4" t="inlineStr">
        <is>
          <r>
            <rPr>
              <rFont val="Calibri"/>
              <b val="1"/>
              <i val="1"/>
              <color rgb="00808080"/>
              <sz val="10"/>
            </rPr>
            <t xml:space="preserve">Source(s): </t>
          </r>
          <r>
            <rPr>
              <rFont val="Calibri"/>
              <i val="1"/>
              <color rgb="00808080"/>
              <sz val="10"/>
            </rPr>
            <t>S62 Drilling Down into the Cost of Geothermal Energy</t>
          </r>
        </is>
      </c>
    </row>
    <row r="14" ht="20" customHeight="1">
      <c r="B14" s="3" t="inlineStr">
        <is>
          <t>(3) DEMAND FOR NEW DISCOVERY RESTS ON PROJECTS OUTSIDE THE EIA PLANNED LIST.</t>
        </is>
      </c>
    </row>
    <row r="15" ht="30" customHeight="1">
      <c r="B15" s="4" t="inlineStr">
        <is>
          <r>
            <rPr>
              <rFont val="Calibri"/>
              <b val="1"/>
              <color rgb="002E2D29"/>
              <sz val="10"/>
            </rPr>
            <t xml:space="preserve">Fact: </t>
          </r>
          <r>
            <rPr>
              <rFont val="Calibri"/>
              <color rgb="002E2D29"/>
              <sz val="10"/>
            </rPr>
            <t>EIA-860M lists planned US geothermal of 130.8 MW in Utah and 26.5 MW in Nevada, against 4049.2 MW operating. US geothermal output was 15,975,127 MWh in 2021 and 15,668,818 MWh in 2025.</t>
          </r>
        </is>
      </c>
    </row>
    <row r="16" ht="15" customHeight="1">
      <c r="B16" s="4" t="inlineStr">
        <is>
          <r>
            <rPr>
              <rFont val="Calibri"/>
              <b val="1"/>
              <color rgb="002E2D29"/>
              <sz val="10"/>
            </rPr>
            <t xml:space="preserve">Not known: </t>
          </r>
          <r>
            <rPr>
              <rFont val="Calibri"/>
              <color rgb="002E2D29"/>
              <sz val="10"/>
            </rPr>
            <t>Why Cape Station does not appear in the planned table: not checked.</t>
          </r>
        </is>
      </c>
    </row>
    <row r="17" ht="30" customHeight="1">
      <c r="B17" s="4" t="inlineStr">
        <is>
          <r>
            <rPr>
              <rFont val="Calibri"/>
              <b val="1"/>
              <i val="1"/>
              <color rgb="00808080"/>
              <sz val="10"/>
            </rPr>
            <t xml:space="preserve">Source(s): </t>
          </r>
          <r>
            <rPr>
              <rFont val="Calibri"/>
              <i val="1"/>
              <color rgb="00808080"/>
              <sz val="10"/>
            </rPr>
            <t>E7 ERW table eia860m_operating_generators; E8 ERW table eia860m_operating_generators; E12 ERW table eia860m_planned_generators; E16 ERW table eia_state_generation_monthly</t>
          </r>
        </is>
      </c>
    </row>
  </sheetData>
  <mergeCells count="12">
    <mergeCell ref="B9:I9"/>
    <mergeCell ref="B12:I12"/>
    <mergeCell ref="B15:I15"/>
    <mergeCell ref="B7:I7"/>
    <mergeCell ref="B11:I11"/>
    <mergeCell ref="B6:I6"/>
    <mergeCell ref="B16:I16"/>
    <mergeCell ref="B10:I10"/>
    <mergeCell ref="B5:I5"/>
    <mergeCell ref="B14:I14"/>
    <mergeCell ref="B4:I4"/>
    <mergeCell ref="B17:I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35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Sources</t>
        </is>
      </c>
    </row>
    <row r="2">
      <c r="B2" s="2" t="inlineStr">
        <is>
          <t>subsurface heat mapping for geothermal</t>
        </is>
      </c>
    </row>
    <row r="4" ht="20" customHeight="1">
      <c r="B4" s="3" t="inlineStr">
        <is>
          <t>(1) EVERY SOURCE, ITS RETRIEVAL DATE AND THE CELLS IT SUPPORTS</t>
        </is>
      </c>
    </row>
    <row r="5">
      <c r="B5" s="5" t="inlineStr">
        <is>
          <t>Id</t>
        </is>
      </c>
      <c r="C5" s="5" t="inlineStr">
        <is>
          <t>Title</t>
        </is>
      </c>
      <c r="D5" s="5" t="inlineStr">
        <is>
          <t>URL</t>
        </is>
      </c>
      <c r="E5" s="5" t="inlineStr">
        <is>
          <t>Retrieved</t>
        </is>
      </c>
      <c r="F5" s="5" t="inlineStr">
        <is>
          <t>Page age</t>
        </is>
      </c>
      <c r="G5" s="5" t="inlineStr">
        <is>
          <t>Cells it supports</t>
        </is>
      </c>
    </row>
    <row r="6">
      <c r="B6" s="6" t="inlineStr">
        <is>
          <t>S1</t>
        </is>
      </c>
      <c r="C6" s="6" t="inlineStr">
        <is>
          <t>Zanskar raises $115M to support expansion of AI-based geothermal ...</t>
        </is>
      </c>
      <c r="D6" s="6" t="inlineStr">
        <is>
          <t>https://www.thinkgeoenergy.com/zanskar-raises-115m-for-ai-based-geothermal-expansion/</t>
        </is>
      </c>
      <c r="E6" s="6" t="inlineStr">
        <is>
          <t>2026-09-29</t>
        </is>
      </c>
      <c r="F6" s="6" t="inlineStr">
        <is>
          <t>248 days ago</t>
        </is>
      </c>
      <c r="G6" s="6" t="inlineStr">
        <is>
          <t>'Scope'!B11:C11; 'Scope'!B12:C12; 'Scope'!B13:C13; 'Scope'!B15; 'Trends'!B32:F32; 'Trends'!B33:F33; 'Trends'!B34:F34; 'Trends'!B35:F35; 'Trends'!B36:F36; 'Trends'!B37; 'Landscape'!B7:J7; 'Landscape'!B15; 'Capital'!B7:H7; 'Capital'!B8</t>
        </is>
      </c>
    </row>
    <row r="7">
      <c r="B7" s="7" t="inlineStr">
        <is>
          <t>S2</t>
        </is>
      </c>
      <c r="C7" s="7" t="inlineStr">
        <is>
          <t>Geothermal explorer Zanskar raises USD 115m in Series C round</t>
        </is>
      </c>
      <c r="D7" s="7" t="inlineStr">
        <is>
          <t>https://renewablesnow.com/news/geothermal-explorer-zanskar-raises-usd-115m-in-series-c-round-1288360/</t>
        </is>
      </c>
      <c r="E7" s="7" t="inlineStr">
        <is>
          <t>2026-09-29</t>
        </is>
      </c>
      <c r="F7" s="7" t="inlineStr">
        <is>
          <t>250 days ago</t>
        </is>
      </c>
      <c r="G7" s="7" t="inlineStr">
        <is>
          <t>'Capital'!B7:H7; 'Capital'!B8</t>
        </is>
      </c>
    </row>
    <row r="8">
      <c r="B8" s="6" t="inlineStr">
        <is>
          <t>S3</t>
        </is>
      </c>
      <c r="C8" s="6" t="inlineStr">
        <is>
          <t>O’Melveny Advises Zanskar on US$115M Series C Funding - O'Melveny</t>
        </is>
      </c>
      <c r="D8" s="6" t="inlineStr">
        <is>
          <t>https://www.omm.com/news/press-releases/o-melveny-advises-zanskar-on-us-115m-series-c-funding/</t>
        </is>
      </c>
      <c r="E8" s="6" t="inlineStr">
        <is>
          <t>2026-09-29</t>
        </is>
      </c>
      <c r="F8" s="6" t="inlineStr">
        <is>
          <t>251 days ago</t>
        </is>
      </c>
      <c r="G8" s="6" t="inlineStr">
        <is>
          <t>'Landscape'!B7:J7; 'Landscape'!B15</t>
        </is>
      </c>
    </row>
    <row r="9">
      <c r="B9" s="7" t="inlineStr">
        <is>
          <t>S4</t>
        </is>
      </c>
      <c r="C9" s="7" t="inlineStr">
        <is>
          <t>Private Investors Back Zanskar’s Mission to Harness Hidden ...</t>
        </is>
      </c>
      <c r="D9" s="7" t="inlineStr">
        <is>
          <t>https://www.energytech.com/renewables/article/55352060/private-investors-back-zanskars-mission-to-harness-hidden-geothermal-resources-with-ai-technology</t>
        </is>
      </c>
      <c r="E9" s="7" t="inlineStr">
        <is>
          <t>2026-09-29</t>
        </is>
      </c>
      <c r="F9" s="7" t="inlineStr">
        <is>
          <t>252 days ago</t>
        </is>
      </c>
      <c r="G9" s="7" t="inlineStr">
        <is>
          <t>searched, not cited in a cell</t>
        </is>
      </c>
    </row>
    <row r="10">
      <c r="B10" s="6" t="inlineStr">
        <is>
          <t>S5</t>
        </is>
      </c>
      <c r="C10" s="6" t="inlineStr">
        <is>
          <t>Zanskar raises $115M Series C Following Record-Setting Year of ...</t>
        </is>
      </c>
      <c r="D10" s="6" t="inlineStr">
        <is>
          <t>https://zanskargeothermal.substack.com/p/zanskar-raises-115m-series-c-following</t>
        </is>
      </c>
      <c r="E10" s="6" t="inlineStr">
        <is>
          <t>2026-09-29</t>
        </is>
      </c>
      <c r="F10" s="6" t="inlineStr">
        <is>
          <t>251 days ago</t>
        </is>
      </c>
      <c r="G10" s="6" t="inlineStr">
        <is>
          <t>searched, not cited in a cell</t>
        </is>
      </c>
    </row>
    <row r="11">
      <c r="B11" s="7" t="inlineStr">
        <is>
          <t>S6</t>
        </is>
      </c>
      <c r="C11" s="7" t="inlineStr">
        <is>
          <t>Geothermal Startup Zanskar Raises $115 Million to Find and Develop ...</t>
        </is>
      </c>
      <c r="D11" s="7" t="inlineStr">
        <is>
          <t>https://www.esgtoday.com/geothermal-startup-zanskar-raises-115-million-to-find-and-develop-carbon-free-energy-using-ai/</t>
        </is>
      </c>
      <c r="E11" s="7" t="inlineStr">
        <is>
          <t>2026-09-29</t>
        </is>
      </c>
      <c r="F11" s="7" t="inlineStr">
        <is>
          <t>250 days ago</t>
        </is>
      </c>
      <c r="G11" s="7" t="inlineStr">
        <is>
          <t>searched, not cited in a cell</t>
        </is>
      </c>
    </row>
    <row r="12">
      <c r="B12" s="6" t="inlineStr">
        <is>
          <t>S7</t>
        </is>
      </c>
      <c r="C12" s="6" t="inlineStr">
        <is>
          <t>Zanskar raises $115M Series C Following Record-Setting Year of ...</t>
        </is>
      </c>
      <c r="D12" s="6" t="inlineStr">
        <is>
          <t>https://finance.yahoo.com/news/zanskar-raises-115m-series-c-130000291.html</t>
        </is>
      </c>
      <c r="E12" s="6" t="inlineStr">
        <is>
          <t>2026-09-29</t>
        </is>
      </c>
      <c r="F12" s="6" t="inlineStr">
        <is>
          <t>251 days ago</t>
        </is>
      </c>
      <c r="G12" s="6" t="inlineStr">
        <is>
          <t>searched, not cited in a cell</t>
        </is>
      </c>
    </row>
    <row r="13">
      <c r="B13" s="7" t="inlineStr">
        <is>
          <t>S8</t>
        </is>
      </c>
      <c r="C13" s="7" t="inlineStr">
        <is>
          <t>Zanskar raises $115M Series C following record-setting year of ...</t>
        </is>
      </c>
      <c r="D13" s="7" t="inlineStr">
        <is>
          <t>https://www.utahbusiness.com/press-releases/2026/01/23/zanskar-raises-115-million-series-c-following-year-geothermal-discoveries/</t>
        </is>
      </c>
      <c r="E13" s="7" t="inlineStr">
        <is>
          <t>2026-09-29</t>
        </is>
      </c>
      <c r="F13" s="7" t="inlineStr">
        <is>
          <t>249 days ago</t>
        </is>
      </c>
      <c r="G13" s="7" t="inlineStr">
        <is>
          <t>searched, not cited in a cell</t>
        </is>
      </c>
    </row>
    <row r="14">
      <c r="B14" s="6" t="inlineStr">
        <is>
          <t>S9</t>
        </is>
      </c>
      <c r="C14" s="6" t="inlineStr">
        <is>
          <t>Zanskar raises $115M Series C Following Record-Setting Year of ...</t>
        </is>
      </c>
      <c r="D14" s="6" t="inlineStr">
        <is>
          <t>https://ground.news/article/zanskar-raises-115m-series-c-following-record-setting-year-of-geothermal-discoveries_c6c866</t>
        </is>
      </c>
      <c r="E14" s="6" t="inlineStr">
        <is>
          <t>2026-09-29</t>
        </is>
      </c>
      <c r="F14" s="6" t="inlineStr">
        <is>
          <t>250 days ago</t>
        </is>
      </c>
      <c r="G14" s="6" t="inlineStr">
        <is>
          <t>searched, not cited in a cell</t>
        </is>
      </c>
    </row>
    <row r="15">
      <c r="B15" s="7" t="inlineStr">
        <is>
          <t>S10</t>
        </is>
      </c>
      <c r="C15" s="7" t="inlineStr">
        <is>
          <t>Geothermal Wildcatter Zanskar, Which Uses AI to Find Heat, Raises ...</t>
        </is>
      </c>
      <c r="D15" s="7" t="inlineStr">
        <is>
          <t>https://finance.yahoo.com/news/geothermal-wildcatter-zanskar-uses-ai-120000063.html</t>
        </is>
      </c>
      <c r="E15" s="7" t="inlineStr">
        <is>
          <t>2026-09-29</t>
        </is>
      </c>
      <c r="F15" s="7" t="inlineStr">
        <is>
          <t>251 days ago</t>
        </is>
      </c>
      <c r="G15" s="7" t="inlineStr">
        <is>
          <t>searched, not cited in a cell</t>
        </is>
      </c>
    </row>
    <row r="16">
      <c r="B16" s="6" t="inlineStr">
        <is>
          <t>S11</t>
        </is>
      </c>
      <c r="C16" s="6" t="inlineStr">
        <is>
          <t>Fervo Energy’s IPO is a milestone for next-gen geothermal</t>
        </is>
      </c>
      <c r="D16" s="6" t="inlineStr">
        <is>
          <t>https://www.canarymedia.com/articles/geothermal/fervo-energy-ipo-milestone</t>
        </is>
      </c>
      <c r="E16" s="6" t="inlineStr">
        <is>
          <t>2026-09-29</t>
        </is>
      </c>
      <c r="F16" s="6" t="inlineStr">
        <is>
          <t>139 days ago</t>
        </is>
      </c>
      <c r="G16" s="6" t="inlineStr">
        <is>
          <t>'Trends'!B42:D42; 'Trends'!B43:D43; 'Trends'!B44:D44; 'Trends'!B45:D45; 'Trends'!B46:D46; 'Trends'!B47</t>
        </is>
      </c>
    </row>
    <row r="17">
      <c r="B17" s="7" t="inlineStr">
        <is>
          <t>S12</t>
        </is>
      </c>
      <c r="C17" s="7" t="inlineStr">
        <is>
          <t>Fervo Energy’s $1.3 Billion IPO Signals a Geothermal Breakthrough</t>
        </is>
      </c>
      <c r="D17" s="7" t="inlineStr">
        <is>
          <t>https://carboncredits.com/fervo-energys-1-3-billion-ipo-signals-a-geothermal-breakthrough/</t>
        </is>
      </c>
      <c r="E17" s="7" t="inlineStr">
        <is>
          <t>2026-09-29</t>
        </is>
      </c>
      <c r="F17" s="7" t="inlineStr">
        <is>
          <t>146 days ago</t>
        </is>
      </c>
      <c r="G17" s="7" t="inlineStr">
        <is>
          <t>searched, not cited in a cell</t>
        </is>
      </c>
    </row>
    <row r="18">
      <c r="B18" s="6" t="inlineStr">
        <is>
          <t>S13</t>
        </is>
      </c>
      <c r="C18" s="6" t="inlineStr">
        <is>
          <t>Geothermal Energy Developer Fervo Raises $1.89 Billion in US IPO ...</t>
        </is>
      </c>
      <c r="D18" s="6" t="inlineStr">
        <is>
          <t>https://www.bloomberg.com/news/articles/2026-05-12/geothermal-energy-developer-fervo-raises-1-89-billion-in-us-ipo</t>
        </is>
      </c>
      <c r="E18" s="6" t="inlineStr">
        <is>
          <t>2026-09-29</t>
        </is>
      </c>
      <c r="F18" s="6" t="inlineStr">
        <is>
          <t>140 days ago</t>
        </is>
      </c>
      <c r="G18" s="6" t="inlineStr">
        <is>
          <t>'Trends'!B42:D42; 'Trends'!B43:D43; 'Trends'!B44:D44; 'Trends'!B45:D45; 'Trends'!B46:D46; 'Trends'!B47</t>
        </is>
      </c>
    </row>
    <row r="19">
      <c r="B19" s="7" t="inlineStr">
        <is>
          <t>S14</t>
        </is>
      </c>
      <c r="C19" s="7" t="inlineStr">
        <is>
          <t>Fervo Energy unveils new power plant details in IPO filing</t>
        </is>
      </c>
      <c r="D19" s="7" t="inlineStr">
        <is>
          <t>https://www.canarymedia.com/articles/climatetech-finance/fervo-energy-geothermal-ipo-filing</t>
        </is>
      </c>
      <c r="E19" s="7" t="inlineStr">
        <is>
          <t>2026-09-29</t>
        </is>
      </c>
      <c r="F19" s="7" t="inlineStr">
        <is>
          <t>162 days ago</t>
        </is>
      </c>
      <c r="G19" s="7" t="inlineStr">
        <is>
          <t>searched, not cited in a cell</t>
        </is>
      </c>
    </row>
    <row r="20">
      <c r="B20" s="6" t="inlineStr">
        <is>
          <t>S15</t>
        </is>
      </c>
      <c r="C20" s="6" t="inlineStr">
        <is>
          <t>Fervo Energy's IPO boosted enhanced geothermal. Now can the hot, ...</t>
        </is>
      </c>
      <c r="D20" s="6" t="inlineStr">
        <is>
          <t>https://www.fastcompany.com/91587748/fervo-energy-enhanched-geothermal</t>
        </is>
      </c>
      <c r="E20" s="6" t="inlineStr">
        <is>
          <t>2026-09-29</t>
        </is>
      </c>
      <c r="F20" s="6" t="inlineStr">
        <is>
          <t>35 days ago</t>
        </is>
      </c>
      <c r="G20" s="6" t="inlineStr">
        <is>
          <t>searched, not cited in a cell</t>
        </is>
      </c>
    </row>
    <row r="21">
      <c r="B21" s="7" t="inlineStr">
        <is>
          <t>S16</t>
        </is>
      </c>
      <c r="C21" s="7" t="inlineStr">
        <is>
          <t>Geothermal startup Fervo Energy may finally go public</t>
        </is>
      </c>
      <c r="D21" s="7" t="inlineStr">
        <is>
          <t>https://www.canarymedia.com/articles/geothermal/startup-fervo-energy-may-go-public</t>
        </is>
      </c>
      <c r="E21" s="7" t="inlineStr">
        <is>
          <t>2026-09-29</t>
        </is>
      </c>
      <c r="F21" s="7" t="inlineStr">
        <is>
          <t>250 days ago</t>
        </is>
      </c>
      <c r="G21" s="7" t="inlineStr">
        <is>
          <t>searched, not cited in a cell</t>
        </is>
      </c>
    </row>
    <row r="22">
      <c r="B22" s="6" t="inlineStr">
        <is>
          <t>S17</t>
        </is>
      </c>
      <c r="C22" s="6" t="inlineStr">
        <is>
          <t>Geothermal startup Fervo Energy pops 33% in IPO debut fueled by ...</t>
        </is>
      </c>
      <c r="D22" s="6" t="inlineStr">
        <is>
          <t>https://techcrunch.com/2026/05/13/geothermal-startup-fervo-energy-pops-33-in-ipo-debut-fueled-by-ai-data-center-demand/</t>
        </is>
      </c>
      <c r="E22" s="6" t="inlineStr">
        <is>
          <t>2026-09-29</t>
        </is>
      </c>
      <c r="F22" s="6" t="inlineStr">
        <is>
          <t>139 days ago</t>
        </is>
      </c>
      <c r="G22" s="6" t="inlineStr">
        <is>
          <t>searched, not cited in a cell</t>
        </is>
      </c>
    </row>
    <row r="23">
      <c r="B23" s="7" t="inlineStr">
        <is>
          <t>S18</t>
        </is>
      </c>
      <c r="C23" s="7" t="inlineStr">
        <is>
          <t>Geothermal Developer Fervo Energy Raises $1.9 Billion in Upsized ...</t>
        </is>
      </c>
      <c r="D23" s="7" t="inlineStr">
        <is>
          <t>https://www.esgtoday.com/geothermal-developer-fervo-energy-raises-1-9-billion-in-upsized-ipo/</t>
        </is>
      </c>
      <c r="E23" s="7" t="inlineStr">
        <is>
          <t>2026-09-29</t>
        </is>
      </c>
      <c r="F23" s="7" t="inlineStr">
        <is>
          <t>139 days ago</t>
        </is>
      </c>
      <c r="G23" s="7" t="inlineStr">
        <is>
          <t>searched, not cited in a cell</t>
        </is>
      </c>
    </row>
    <row r="24">
      <c r="B24" s="6" t="inlineStr">
        <is>
          <t>S19</t>
        </is>
      </c>
      <c r="C24" s="6" t="inlineStr">
        <is>
          <t>Fervo Energy Shares Surge as Geothermal Firm Raises $1.89 Billion ...</t>
        </is>
      </c>
      <c r="D24" s="6" t="inlineStr">
        <is>
          <t>https://www.bloomberg.com/news/articles/2026-05-13/geothermal-energy-firm-fervo-rises-33-after-1-89-billion-ipo</t>
        </is>
      </c>
      <c r="E24" s="6" t="inlineStr">
        <is>
          <t>2026-09-29</t>
        </is>
      </c>
      <c r="F24" s="6" t="inlineStr">
        <is>
          <t>139 days ago</t>
        </is>
      </c>
      <c r="G24" s="6" t="inlineStr">
        <is>
          <t>searched, not cited in a cell</t>
        </is>
      </c>
    </row>
    <row r="25">
      <c r="B25" s="7" t="inlineStr">
        <is>
          <t>S20</t>
        </is>
      </c>
      <c r="C25" s="7" t="inlineStr">
        <is>
          <t>Bill Gates-backed geothermal developer Fervo raises $1.89B in IPO ...</t>
        </is>
      </c>
      <c r="D25" s="7" t="inlineStr">
        <is>
          <t>https://www.esgdive.com/news/bill-gates-backed-geothermal-developer-fervo-raises-189b-in-ipo/820131/</t>
        </is>
      </c>
      <c r="E25" s="7" t="inlineStr">
        <is>
          <t>2026-09-29</t>
        </is>
      </c>
      <c r="F25" s="7" t="inlineStr">
        <is>
          <t>139 days ago</t>
        </is>
      </c>
      <c r="G25" s="7" t="inlineStr">
        <is>
          <t>searched, not cited in a cell</t>
        </is>
      </c>
    </row>
    <row r="26">
      <c r="B26" s="6" t="inlineStr">
        <is>
          <t>S21</t>
        </is>
      </c>
      <c r="C26" s="6" t="inlineStr">
        <is>
          <t>Mintz Advises Quaise Energy in $21M Series A1 Funding</t>
        </is>
      </c>
      <c r="D26" s="6" t="inlineStr">
        <is>
          <t>https://www.mintz.com/insights-center/news-press/mintz-advises-quaise-energy-21m-series-a1-funding</t>
        </is>
      </c>
      <c r="E26" s="6" t="inlineStr">
        <is>
          <t>2026-09-29</t>
        </is>
      </c>
      <c r="F26" s="6" t="inlineStr">
        <is>
          <t>930 days ago</t>
        </is>
      </c>
      <c r="G26" s="6" t="inlineStr">
        <is>
          <t>searched, not cited in a cell</t>
        </is>
      </c>
    </row>
    <row r="27">
      <c r="B27" s="7" t="inlineStr">
        <is>
          <t>S22</t>
        </is>
      </c>
      <c r="C27" s="7" t="inlineStr">
        <is>
          <t>Quaise Energy Raises $21 Million to Accelerate Terawatt-Scale ...</t>
        </is>
      </c>
      <c r="D27" s="7" t="inlineStr">
        <is>
          <t>https://geothermal.org/resources/quaise-energy-raises-21-million-accelerate-terawatt-scale-geothermal-energy</t>
        </is>
      </c>
      <c r="E27" s="7" t="inlineStr">
        <is>
          <t>2026-09-29</t>
        </is>
      </c>
      <c r="F27" s="7" t="inlineStr">
        <is>
          <t>925 days ago</t>
        </is>
      </c>
      <c r="G27" s="7" t="inlineStr">
        <is>
          <t>searched, not cited in a cell</t>
        </is>
      </c>
    </row>
    <row r="28">
      <c r="B28" s="6" t="inlineStr">
        <is>
          <t>S23</t>
        </is>
      </c>
      <c r="C28" s="6" t="inlineStr">
        <is>
          <t>MITEI spinout Quaise raises $180 million</t>
        </is>
      </c>
      <c r="D28" s="6" t="inlineStr">
        <is>
          <t>https://energy.mit.edu/news/mitei-spinout-quaise-raises-180-million/</t>
        </is>
      </c>
      <c r="E28" s="6" t="inlineStr">
        <is>
          <t>2026-09-29</t>
        </is>
      </c>
      <c r="F28" s="6" t="inlineStr">
        <is>
          <t>26 days ago</t>
        </is>
      </c>
      <c r="G28" s="6" t="inlineStr">
        <is>
          <t>'Landscape'!B10:J10; 'Landscape'!B15</t>
        </is>
      </c>
    </row>
    <row r="29">
      <c r="B29" s="7" t="inlineStr">
        <is>
          <t>S24</t>
        </is>
      </c>
      <c r="C29" s="7" t="inlineStr">
        <is>
          <t>Quaise Energy raises $134M to fuel superhot geothermal…</t>
        </is>
      </c>
      <c r="D29" s="7" t="inlineStr">
        <is>
          <t>https://www.canarymedia.com/articles/geothermal/quaise-energy-raises-134m</t>
        </is>
      </c>
      <c r="E29" s="7" t="inlineStr">
        <is>
          <t>2026-09-29</t>
        </is>
      </c>
      <c r="F29" s="7" t="inlineStr">
        <is>
          <t>84 days ago</t>
        </is>
      </c>
      <c r="G29" s="7" t="inlineStr">
        <is>
          <t>searched, not cited in a cell</t>
        </is>
      </c>
    </row>
    <row r="30">
      <c r="B30" s="6" t="inlineStr">
        <is>
          <t>S25</t>
        </is>
      </c>
      <c r="C30" s="6" t="inlineStr">
        <is>
          <t>Quaise Energy Selected for Up to $25 Million in U.S. Department ...</t>
        </is>
      </c>
      <c r="D30" s="6" t="inlineStr">
        <is>
          <t>https://finance.yahoo.com/energy/articles/quaise-energy-selected-25-million-133000845.html</t>
        </is>
      </c>
      <c r="E30" s="6" t="inlineStr">
        <is>
          <t>2026-09-29</t>
        </is>
      </c>
      <c r="F30" s="6" t="inlineStr">
        <is>
          <t>7 days ago</t>
        </is>
      </c>
      <c r="G30" s="6" t="inlineStr">
        <is>
          <t>searched, not cited in a cell</t>
        </is>
      </c>
    </row>
    <row r="31">
      <c r="B31" s="7" t="inlineStr">
        <is>
          <t>S26</t>
        </is>
      </c>
      <c r="C31" s="7" t="inlineStr">
        <is>
          <t>Geothermal Startup Quaise Secures Funding for Oregon Power Plant ...</t>
        </is>
      </c>
      <c r="D31" s="7" t="inlineStr">
        <is>
          <t>https://www.bloomberg.com/news/articles/2026-07-07/geothermal-startup-raises-144-million-to-drill-superhot-rocks</t>
        </is>
      </c>
      <c r="E31" s="7" t="inlineStr">
        <is>
          <t>2026-09-29</t>
        </is>
      </c>
      <c r="F31" s="7" t="inlineStr">
        <is>
          <t>84 days ago</t>
        </is>
      </c>
      <c r="G31" s="7" t="inlineStr">
        <is>
          <t>searched, not cited in a cell</t>
        </is>
      </c>
    </row>
    <row r="32">
      <c r="B32" s="6" t="inlineStr">
        <is>
          <t>S27</t>
        </is>
      </c>
      <c r="C32" s="6" t="inlineStr">
        <is>
          <t>Quaise Energy - Crunchbase Company Profile &amp; Funding</t>
        </is>
      </c>
      <c r="D32" s="6" t="inlineStr">
        <is>
          <t>https://www.crunchbase.com/organization/quaise</t>
        </is>
      </c>
      <c r="E32" s="6" t="inlineStr">
        <is>
          <t>2026-09-29</t>
        </is>
      </c>
      <c r="F32" s="6" t="inlineStr"/>
      <c r="G32" s="6" t="inlineStr">
        <is>
          <t>searched, not cited in a cell</t>
        </is>
      </c>
    </row>
    <row r="33">
      <c r="B33" s="7" t="inlineStr">
        <is>
          <t>S28</t>
        </is>
      </c>
      <c r="C33" s="7" t="inlineStr">
        <is>
          <t>Quaise Energy Selected for Up to $25 Million in U.S. Department ...</t>
        </is>
      </c>
      <c r="D33" s="7" t="inlineStr">
        <is>
          <t>https://www.rutlandherald.com/news/business/quaise-energy-selected-for-up-to-25-million-in-u-s-department-of-energy-support/article_31de8f28-55d9-5349-8457-8fe381c3ccc1.html</t>
        </is>
      </c>
      <c r="E33" s="7" t="inlineStr">
        <is>
          <t>2026-09-29</t>
        </is>
      </c>
      <c r="F33" s="7" t="inlineStr">
        <is>
          <t>7 days ago</t>
        </is>
      </c>
      <c r="G33" s="7" t="inlineStr">
        <is>
          <t>searched, not cited in a cell</t>
        </is>
      </c>
    </row>
    <row r="34">
      <c r="B34" s="6" t="inlineStr">
        <is>
          <t>S29</t>
        </is>
      </c>
      <c r="C34" s="6" t="inlineStr">
        <is>
          <t>Quaise Energy</t>
        </is>
      </c>
      <c r="D34" s="6" t="inlineStr">
        <is>
          <t>https://www.quaise.com/news/quaise-energy-closes-180-million-series-b-with-35-million-investment-by-nabors-industries</t>
        </is>
      </c>
      <c r="E34" s="6" t="inlineStr">
        <is>
          <t>2026-09-29</t>
        </is>
      </c>
      <c r="F34" s="6" t="inlineStr">
        <is>
          <t>33 days ago</t>
        </is>
      </c>
      <c r="G34" s="6" t="inlineStr">
        <is>
          <t>'Trends'!B32:F32; 'Trends'!B33:F33; 'Trends'!B34:F34; 'Trends'!B35:F35; 'Trends'!B36:F36; 'Trends'!B37; 'Landscape'!B10:J10; 'Landscape'!B15; 'Incumbents'!B10:H10; 'Incumbents'!B12</t>
        </is>
      </c>
    </row>
    <row r="35">
      <c r="B35" s="7" t="inlineStr">
        <is>
          <t>S30</t>
        </is>
      </c>
      <c r="C35" s="7" t="inlineStr">
        <is>
          <t>Quaise Energy Raises $134 Million in Initial Close of Series B ...</t>
        </is>
      </c>
      <c r="D35" s="7" t="inlineStr">
        <is>
          <t>https://www.businesswire.com/news/home/20260707844187/en/Quaise-Energy-Raises-$134-Million-in-Initial-Close-of-Series-B-to-Build-Worlds-First-Superhot-Geothermal-Power-Plant</t>
        </is>
      </c>
      <c r="E35" s="7" t="inlineStr">
        <is>
          <t>2026-09-29</t>
        </is>
      </c>
      <c r="F35" s="7" t="inlineStr">
        <is>
          <t>84 days ago</t>
        </is>
      </c>
      <c r="G35" s="7" t="inlineStr">
        <is>
          <t>'Trends'!B32:F32; 'Trends'!B33:F33; 'Trends'!B34:F34; 'Trends'!B35:F35; 'Trends'!B36:F36; 'Trends'!B37; 'Landscape'!B10:J10; 'Landscape'!B15</t>
        </is>
      </c>
    </row>
    <row r="36">
      <c r="B36" s="6" t="inlineStr">
        <is>
          <t>S31</t>
        </is>
      </c>
      <c r="C36" s="6" t="inlineStr">
        <is>
          <t>Federal Energy RD&amp;D: Geothermal Technologies</t>
        </is>
      </c>
      <c r="D36" s="6" t="inlineStr">
        <is>
          <t>https://www2.itif.org/2021-budget-geothermal.pdf</t>
        </is>
      </c>
      <c r="E36" s="6" t="inlineStr">
        <is>
          <t>2026-09-29</t>
        </is>
      </c>
      <c r="F36" s="6" t="inlineStr"/>
      <c r="G36" s="6" t="inlineStr">
        <is>
          <t>searched, not cited in a cell</t>
        </is>
      </c>
    </row>
    <row r="37">
      <c r="B37" s="7" t="inlineStr">
        <is>
          <t>S32</t>
        </is>
      </c>
      <c r="C37" s="7" t="inlineStr">
        <is>
          <t>Enhanced Geothermal Systems (EGS): Frequently Asked Questions</t>
        </is>
      </c>
      <c r="D37" s="7" t="inlineStr">
        <is>
          <t>https://www.congress.gov/crs-product/R48090</t>
        </is>
      </c>
      <c r="E37" s="7" t="inlineStr">
        <is>
          <t>2026-09-29</t>
        </is>
      </c>
      <c r="F37" s="7" t="inlineStr">
        <is>
          <t>845 days ago</t>
        </is>
      </c>
      <c r="G37" s="7" t="inlineStr">
        <is>
          <t>'Trends'!B61:D61; 'Trends'!B62:D62; 'Trends'!B63:D63; 'Trends'!B64:D64; 'Trends'!B65:D65; 'Trends'!B66</t>
        </is>
      </c>
    </row>
    <row r="38">
      <c r="B38" s="6" t="inlineStr">
        <is>
          <t>S33</t>
        </is>
      </c>
      <c r="C38" s="6" t="inlineStr">
        <is>
          <t>Chapter 4</t>
        </is>
      </c>
      <c r="D38" s="6" t="inlineStr">
        <is>
          <t>https://www.energy.gov/hgeo/geothermal/articles/geovision-chapter-4</t>
        </is>
      </c>
      <c r="E38" s="6" t="inlineStr">
        <is>
          <t>2026-09-29</t>
        </is>
      </c>
      <c r="F38" s="6" t="inlineStr"/>
      <c r="G38" s="6" t="inlineStr">
        <is>
          <t>'Trends'!B61:D61; 'Trends'!B62:D62; 'Trends'!B63:D63; 'Trends'!B64:D64; 'Trends'!B65:D65; 'Trends'!B66</t>
        </is>
      </c>
    </row>
    <row r="39">
      <c r="B39" s="7" t="inlineStr">
        <is>
          <t>S34</t>
        </is>
      </c>
      <c r="C39" s="7" t="inlineStr">
        <is>
          <t>Chapter 5</t>
        </is>
      </c>
      <c r="D39" s="7" t="inlineStr">
        <is>
          <t>https://www.energy.gov/hgeo/geothermal/articles/geovision-chapter-5</t>
        </is>
      </c>
      <c r="E39" s="7" t="inlineStr">
        <is>
          <t>2026-09-29</t>
        </is>
      </c>
      <c r="F39" s="7" t="inlineStr"/>
      <c r="G39" s="7" t="inlineStr">
        <is>
          <t>'Trends'!B61:D61; 'Trends'!B62:D62; 'Trends'!B63:D63; 'Trends'!B64:D64; 'Trends'!B65:D65; 'Trends'!B66</t>
        </is>
      </c>
    </row>
    <row r="40">
      <c r="B40" s="6" t="inlineStr">
        <is>
          <t>S35</t>
        </is>
      </c>
      <c r="C40" s="6" t="inlineStr">
        <is>
          <t>Geothermal</t>
        </is>
      </c>
      <c r="D40" s="6" t="inlineStr">
        <is>
          <t>https://atb.nrel.gov/electricity/2024/2023/geothermal</t>
        </is>
      </c>
      <c r="E40" s="6" t="inlineStr">
        <is>
          <t>2026-09-29</t>
        </is>
      </c>
      <c r="F40" s="6" t="inlineStr">
        <is>
          <t>581 days ago</t>
        </is>
      </c>
      <c r="G40" s="6" t="inlineStr">
        <is>
          <t>'Scope'!B10:C10; 'Scope'!B15</t>
        </is>
      </c>
    </row>
    <row r="41">
      <c r="B41" s="7" t="inlineStr">
        <is>
          <t>S36</t>
        </is>
      </c>
      <c r="C41" s="7" t="inlineStr">
        <is>
          <t>The Geothermal Technologies Office’s Vision, Mission, Strategic ...</t>
        </is>
      </c>
      <c r="D41" s="7" t="inlineStr">
        <is>
          <t>https://www.energy.gov/hgeo/geothermal/geothermal-technologies-offices-vision-mission-strategic-goals-and-research-areas</t>
        </is>
      </c>
      <c r="E41" s="7" t="inlineStr">
        <is>
          <t>2026-09-29</t>
        </is>
      </c>
      <c r="F41" s="7" t="inlineStr">
        <is>
          <t>34 days ago</t>
        </is>
      </c>
      <c r="G41" s="7" t="inlineStr">
        <is>
          <t>searched, not cited in a cell</t>
        </is>
      </c>
    </row>
    <row r="42">
      <c r="B42" s="6" t="inlineStr">
        <is>
          <t>S37</t>
        </is>
      </c>
      <c r="C42" s="6" t="inlineStr">
        <is>
          <t>Geothermal Energy Factsheet</t>
        </is>
      </c>
      <c r="D42" s="6" t="inlineStr">
        <is>
          <t>https://css.umich.edu/publications/factsheets/energy/geothermal-energy-factsheet</t>
        </is>
      </c>
      <c r="E42" s="6" t="inlineStr">
        <is>
          <t>2026-09-29</t>
        </is>
      </c>
      <c r="F42" s="6" t="inlineStr">
        <is>
          <t>3416 days ago</t>
        </is>
      </c>
      <c r="G42" s="6" t="inlineStr">
        <is>
          <t>searched, not cited in a cell</t>
        </is>
      </c>
    </row>
    <row r="43">
      <c r="B43" s="7" t="inlineStr">
        <is>
          <t>S38</t>
        </is>
      </c>
      <c r="C43" s="7" t="inlineStr">
        <is>
          <t>Executive Summary</t>
        </is>
      </c>
      <c r="D43" s="7" t="inlineStr">
        <is>
          <t>https://www.energy.gov/hgeo/geothermal/executive-summary</t>
        </is>
      </c>
      <c r="E43" s="7" t="inlineStr">
        <is>
          <t>2026-09-29</t>
        </is>
      </c>
      <c r="F43" s="7" t="inlineStr">
        <is>
          <t>425 days ago</t>
        </is>
      </c>
      <c r="G43" s="7" t="inlineStr">
        <is>
          <t>searched, not cited in a cell</t>
        </is>
      </c>
    </row>
    <row r="44">
      <c r="B44" s="6" t="inlineStr">
        <is>
          <t>S39</t>
        </is>
      </c>
      <c r="C44" s="6" t="inlineStr">
        <is>
          <t>GeoVision 2019</t>
        </is>
      </c>
      <c r="D44" s="6" t="inlineStr">
        <is>
          <t>https://apps.openei.org/geovision/executive-summary</t>
        </is>
      </c>
      <c r="E44" s="6" t="inlineStr">
        <is>
          <t>2026-09-29</t>
        </is>
      </c>
      <c r="F44" s="6" t="inlineStr"/>
      <c r="G44" s="6" t="inlineStr">
        <is>
          <t>searched, not cited in a cell</t>
        </is>
      </c>
    </row>
    <row r="45">
      <c r="B45" s="7" t="inlineStr">
        <is>
          <t>S40</t>
        </is>
      </c>
      <c r="C45" s="7" t="inlineStr">
        <is>
          <t>Geothermal</t>
        </is>
      </c>
      <c r="D45" s="7" t="inlineStr">
        <is>
          <t>https://atb.nrel.gov/electricity/2022/geothermal</t>
        </is>
      </c>
      <c r="E45" s="7" t="inlineStr">
        <is>
          <t>2026-09-29</t>
        </is>
      </c>
      <c r="F45" s="7" t="inlineStr">
        <is>
          <t>1532 days ago</t>
        </is>
      </c>
      <c r="G45" s="7" t="inlineStr">
        <is>
          <t>searched, not cited in a cell</t>
        </is>
      </c>
    </row>
    <row r="46">
      <c r="B46" s="6" t="inlineStr">
        <is>
          <t>S41</t>
        </is>
      </c>
      <c r="C46" s="6" t="inlineStr">
        <is>
          <t>Google signs 150MW geothermal PPA with Ormat in Nevada - DCD</t>
        </is>
      </c>
      <c r="D46" s="6" t="inlineStr">
        <is>
          <t>https://www.datacenterdynamics.com/en/news/google-signs-150mw-geothermal-ppa-with-ormat-in-nevada/</t>
        </is>
      </c>
      <c r="E46" s="6" t="inlineStr">
        <is>
          <t>2026-09-29</t>
        </is>
      </c>
      <c r="F46" s="6" t="inlineStr">
        <is>
          <t>71 days ago</t>
        </is>
      </c>
      <c r="G46" s="6" t="inlineStr">
        <is>
          <t>searched, not cited in a cell</t>
        </is>
      </c>
    </row>
    <row r="47">
      <c r="B47" s="7" t="inlineStr">
        <is>
          <t>S42</t>
        </is>
      </c>
      <c r="C47" s="7" t="inlineStr">
        <is>
          <t>Ormat Technologies Signs Up To 150 Million MW Portfolio PPA With ...</t>
        </is>
      </c>
      <c r="D47" s="7" t="inlineStr">
        <is>
          <t>https://pulse2.com/ormat-technologies-signs-up-to-150-million-mw-portfolio-ppa-with-nv-energy-to-support-google-data-centers/amp/</t>
        </is>
      </c>
      <c r="E47" s="7" t="inlineStr">
        <is>
          <t>2026-09-29</t>
        </is>
      </c>
      <c r="F47" s="7" t="inlineStr">
        <is>
          <t>218 days ago</t>
        </is>
      </c>
      <c r="G47" s="7" t="inlineStr">
        <is>
          <t>searched, not cited in a cell</t>
        </is>
      </c>
    </row>
    <row r="48">
      <c r="B48" s="6" t="inlineStr">
        <is>
          <t>S43</t>
        </is>
      </c>
      <c r="C48" s="6" t="inlineStr">
        <is>
          <t>Google Taps Earth’s Heat in 150MW Geothermal Deal with Ormat ...</t>
        </is>
      </c>
      <c r="D48" s="6" t="inlineStr">
        <is>
          <t>https://carboncredits.com/google-taps-earths-heat-in-150mw-geothermal-deal-with-ormat-technologies-to-power-data-centers/</t>
        </is>
      </c>
      <c r="E48" s="6" t="inlineStr">
        <is>
          <t>2026-09-29</t>
        </is>
      </c>
      <c r="F48" s="6" t="inlineStr">
        <is>
          <t>145 days ago</t>
        </is>
      </c>
      <c r="G48" s="6" t="inlineStr">
        <is>
          <t>searched, not cited in a cell</t>
        </is>
      </c>
    </row>
    <row r="49">
      <c r="B49" s="7" t="inlineStr">
        <is>
          <t>S44</t>
        </is>
      </c>
      <c r="C49" s="7" t="inlineStr">
        <is>
          <t>Ormat signs 150-MW geothermal PPA to support Google’s data center ...</t>
        </is>
      </c>
      <c r="D49" s="7" t="inlineStr">
        <is>
          <t>https://www.thinkgeoenergy.com/ormat-signs-150-mw-geothermal-ppa-to-support-googles-data-center-operations-in-nevada/</t>
        </is>
      </c>
      <c r="E49" s="7" t="inlineStr">
        <is>
          <t>2026-09-29</t>
        </is>
      </c>
      <c r="F49" s="7" t="inlineStr">
        <is>
          <t>224 days ago</t>
        </is>
      </c>
      <c r="G49" s="7" t="inlineStr">
        <is>
          <t>searched, not cited in a cell</t>
        </is>
      </c>
    </row>
    <row r="50">
      <c r="B50" s="6" t="inlineStr">
        <is>
          <t>S45</t>
        </is>
      </c>
      <c r="C50" s="6" t="inlineStr">
        <is>
          <t>Ormat Technologies Signs Deal With NV Energy To Support Google ...</t>
        </is>
      </c>
      <c r="D50" s="6" t="inlineStr">
        <is>
          <t>https://pulse2.com/ormat-technologies-signs-deal-with-nv-energy-to-support-google-data-centers/</t>
        </is>
      </c>
      <c r="E50" s="6" t="inlineStr">
        <is>
          <t>2026-09-29</t>
        </is>
      </c>
      <c r="F50" s="6" t="inlineStr">
        <is>
          <t>218 days ago</t>
        </is>
      </c>
      <c r="G50" s="6" t="inlineStr">
        <is>
          <t>searched, not cited in a cell</t>
        </is>
      </c>
    </row>
    <row r="51">
      <c r="B51" s="7" t="inlineStr">
        <is>
          <t>S46</t>
        </is>
      </c>
      <c r="C51" s="7" t="inlineStr">
        <is>
          <t>Google, Ormat Sign Deal to Power Data Centers from New Geothermal ...</t>
        </is>
      </c>
      <c r="D51" s="7" t="inlineStr">
        <is>
          <t>https://www.esgtoday.com/google-ormat-sign-deal-to-power-data-centers-from-new-geothermal-projects/</t>
        </is>
      </c>
      <c r="E51" s="7" t="inlineStr">
        <is>
          <t>2026-09-29</t>
        </is>
      </c>
      <c r="F51" s="7" t="inlineStr">
        <is>
          <t>223 days ago</t>
        </is>
      </c>
      <c r="G51" s="7" t="inlineStr">
        <is>
          <t>searched, not cited in a cell</t>
        </is>
      </c>
    </row>
    <row r="52">
      <c r="B52" s="6" t="inlineStr">
        <is>
          <t>S47</t>
        </is>
      </c>
      <c r="C52" s="6" t="inlineStr">
        <is>
          <t>Ground Support for AI: Google Inks Nevada Geothermal PPA with Ormat, ...</t>
        </is>
      </c>
      <c r="D52" s="6" t="inlineStr">
        <is>
          <t>https://www.energytech.com/renewables/article/55358641/ground-support-for-ai-google-inks-nevada-geothermal-ppa-with-ormat-nv-energy</t>
        </is>
      </c>
      <c r="E52" s="6" t="inlineStr">
        <is>
          <t>2026-09-29</t>
        </is>
      </c>
      <c r="F52" s="6" t="inlineStr">
        <is>
          <t>223 days ago</t>
        </is>
      </c>
      <c r="G52" s="6" t="inlineStr">
        <is>
          <t>searched, not cited in a cell</t>
        </is>
      </c>
    </row>
    <row r="53">
      <c r="B53" s="7" t="inlineStr">
        <is>
          <t>S48</t>
        </is>
      </c>
      <c r="C53" s="7" t="inlineStr">
        <is>
          <t>Geothermal Data Centers: The 2026 Clean Transition Tariff Guide</t>
        </is>
      </c>
      <c r="D53" s="7" t="inlineStr">
        <is>
          <t>https://enkiai.com/data-center/geothermal-data-centers-the-2026-clean-transition-tariff-guide/</t>
        </is>
      </c>
      <c r="E53" s="7" t="inlineStr">
        <is>
          <t>2026-09-29</t>
        </is>
      </c>
      <c r="F53" s="7" t="inlineStr">
        <is>
          <t>174 days ago</t>
        </is>
      </c>
      <c r="G53" s="7" t="inlineStr">
        <is>
          <t>searched, not cited in a cell</t>
        </is>
      </c>
    </row>
    <row r="54">
      <c r="B54" s="6" t="inlineStr">
        <is>
          <t>S49</t>
        </is>
      </c>
      <c r="C54" s="6" t="inlineStr">
        <is>
          <t>Geothermal Energy from Ormat for Google Data Centers: Ormat Signs ...</t>
        </is>
      </c>
      <c r="D54" s="6" t="inlineStr">
        <is>
          <t>https://www.renewable-energy-industry.com/countries/article-7241-geothermal-energy-from-ormat-for-google-data-centers-ormat-signs-150-mw-ppa-with-nv-energy-for-google-in-nevada</t>
        </is>
      </c>
      <c r="E54" s="6" t="inlineStr">
        <is>
          <t>2026-09-29</t>
        </is>
      </c>
      <c r="F54" s="6" t="inlineStr">
        <is>
          <t>223 days ago</t>
        </is>
      </c>
      <c r="G54" s="6" t="inlineStr">
        <is>
          <t>searched, not cited in a cell</t>
        </is>
      </c>
    </row>
    <row r="55">
      <c r="B55" s="7" t="inlineStr">
        <is>
          <t>S50</t>
        </is>
      </c>
      <c r="C55" s="7" t="inlineStr">
        <is>
          <t>Fervo Energy Co - Form 8-K - FY2026</t>
        </is>
      </c>
      <c r="D55" s="7" t="inlineStr">
        <is>
          <t>https://www.sec.gov/Archives/edgar/data/0001853868/000162828026055942/exhibit991earningsrelease8.htm</t>
        </is>
      </c>
      <c r="E55" s="7" t="inlineStr">
        <is>
          <t>2026-09-29</t>
        </is>
      </c>
      <c r="F55" s="7" t="inlineStr"/>
      <c r="G55" s="7" t="inlineStr">
        <is>
          <t>'Trends'!B42:D42; 'Trends'!B43:D43; 'Trends'!B44:D44; 'Trends'!B45:D45; 'Trends'!B46:D46; 'Trends'!B47; 'Incumbents'!B8:H8; 'Incumbents'!B12</t>
        </is>
      </c>
    </row>
    <row r="56">
      <c r="B56" s="6" t="inlineStr">
        <is>
          <t>S51</t>
        </is>
      </c>
      <c r="C56" s="6" t="inlineStr">
        <is>
          <t>Fervo Energy Co - Form 8-K - FY2026</t>
        </is>
      </c>
      <c r="D56" s="6" t="inlineStr">
        <is>
          <t>https://www.sec.gov/Archives/edgar/data/0001853868/000162828026044474/exhibit991-earningsrelease.htm</t>
        </is>
      </c>
      <c r="E56" s="6" t="inlineStr">
        <is>
          <t>2026-09-29</t>
        </is>
      </c>
      <c r="F56" s="6" t="inlineStr"/>
      <c r="G56" s="6" t="inlineStr">
        <is>
          <t>searched, not cited in a cell</t>
        </is>
      </c>
    </row>
    <row r="57">
      <c r="B57" s="7" t="inlineStr">
        <is>
          <t>S52</t>
        </is>
      </c>
      <c r="C57" s="7" t="inlineStr">
        <is>
          <t>Fervo Energy Co - Form 10-Q - FY2026</t>
        </is>
      </c>
      <c r="D57" s="7" t="inlineStr">
        <is>
          <t>https://www.sec.gov/Archives/edgar/data/0001853868/000162828026056457/frvo-20260630.htm</t>
        </is>
      </c>
      <c r="E57" s="7" t="inlineStr">
        <is>
          <t>2026-09-29</t>
        </is>
      </c>
      <c r="F57" s="7" t="inlineStr"/>
      <c r="G57" s="7" t="inlineStr">
        <is>
          <t>'Scope'!B13:C13; 'Scope'!B15</t>
        </is>
      </c>
    </row>
    <row r="58">
      <c r="B58" s="6" t="inlineStr">
        <is>
          <t>S53</t>
        </is>
      </c>
      <c r="C58" s="6" t="inlineStr">
        <is>
          <t>Fervo Energy Co - Form 10-Q - FY2026</t>
        </is>
      </c>
      <c r="D58" s="6" t="inlineStr">
        <is>
          <t>https://www.sec.gov/Archives/edgar/data/0001853868/000162828026044799/frvo-20260331.htm</t>
        </is>
      </c>
      <c r="E58" s="6" t="inlineStr">
        <is>
          <t>2026-09-29</t>
        </is>
      </c>
      <c r="F58" s="6" t="inlineStr"/>
      <c r="G58" s="6" t="inlineStr">
        <is>
          <t>searched, not cited in a cell</t>
        </is>
      </c>
    </row>
    <row r="59">
      <c r="B59" s="7" t="inlineStr">
        <is>
          <t>S54</t>
        </is>
      </c>
      <c r="C59" s="7" t="inlineStr">
        <is>
          <t>Geothermal startup Fervo Energy to raise up to $1.3B in IPO</t>
        </is>
      </c>
      <c r="D59" s="7" t="inlineStr">
        <is>
          <t>https://techcrunch.com/2026/05/04/geothermal-startup-fervo-energy-to-raise-up-to-1-3b-in-ipo/</t>
        </is>
      </c>
      <c r="E59" s="7" t="inlineStr">
        <is>
          <t>2026-09-29</t>
        </is>
      </c>
      <c r="F59" s="7" t="inlineStr">
        <is>
          <t>147 days ago</t>
        </is>
      </c>
      <c r="G59" s="7" t="inlineStr">
        <is>
          <t>searched, not cited in a cell</t>
        </is>
      </c>
    </row>
    <row r="60">
      <c r="B60" s="6" t="inlineStr">
        <is>
          <t>S55</t>
        </is>
      </c>
      <c r="C60" s="6" t="inlineStr">
        <is>
          <t>Geothermal Energy Developer Fervo Seeks $1.33 Billion in US IPO</t>
        </is>
      </c>
      <c r="D60" s="6" t="inlineStr">
        <is>
          <t>https://www.bloomberg.com/news/articles/2026-05-04/geothermal-energy-developer-fervo-seeks-1-33-billion-in-us-ipo</t>
        </is>
      </c>
      <c r="E60" s="6" t="inlineStr">
        <is>
          <t>2026-09-29</t>
        </is>
      </c>
      <c r="F60" s="6" t="inlineStr">
        <is>
          <t>148 days ago</t>
        </is>
      </c>
      <c r="G60" s="6" t="inlineStr">
        <is>
          <t>searched, not cited in a cell</t>
        </is>
      </c>
    </row>
    <row r="61">
      <c r="B61" s="7" t="inlineStr">
        <is>
          <t>S56</t>
        </is>
      </c>
      <c r="C61" s="7" t="inlineStr">
        <is>
          <t>Quaise Energy Raises $134M To Build Superhot Geothermal Power Plant</t>
        </is>
      </c>
      <c r="D61" s="7" t="inlineStr">
        <is>
          <t>https://jpt.spe.org/quaise-energy-raises-134m-to-build-superhot-geothermal-power-plant</t>
        </is>
      </c>
      <c r="E61" s="7" t="inlineStr">
        <is>
          <t>2026-09-29</t>
        </is>
      </c>
      <c r="F61" s="7" t="inlineStr">
        <is>
          <t>83 days ago</t>
        </is>
      </c>
      <c r="G61" s="7" t="inlineStr">
        <is>
          <t>searched, not cited in a cell</t>
        </is>
      </c>
    </row>
    <row r="62">
      <c r="B62" s="6" t="inlineStr">
        <is>
          <t>S57</t>
        </is>
      </c>
      <c r="C62" s="6" t="inlineStr">
        <is>
          <t>Quaise Energy Raises $134 Million in Initial Close of Series B ...</t>
        </is>
      </c>
      <c r="D62" s="6" t="inlineStr">
        <is>
          <t>https://finance.yahoo.com/energy/articles/quaise-energy-raises-134-million-120100752.html</t>
        </is>
      </c>
      <c r="E62" s="6" t="inlineStr">
        <is>
          <t>2026-09-29</t>
        </is>
      </c>
      <c r="F62" s="6" t="inlineStr">
        <is>
          <t>84 days ago</t>
        </is>
      </c>
      <c r="G62" s="6" t="inlineStr">
        <is>
          <t>searched, not cited in a cell</t>
        </is>
      </c>
    </row>
    <row r="63">
      <c r="B63" s="7" t="inlineStr">
        <is>
          <t>S58</t>
        </is>
      </c>
      <c r="C63" s="7" t="inlineStr">
        <is>
          <t>Quaise Energy closes $134m Series B funding round to support superhot ...</t>
        </is>
      </c>
      <c r="D63" s="7" t="inlineStr">
        <is>
          <t>https://www.thinkgeoenergy.com/quaise-energy-closes-134m-series-b-funding-round-to-support-superhot-geothermal-project/</t>
        </is>
      </c>
      <c r="E63" s="7" t="inlineStr">
        <is>
          <t>2026-09-29</t>
        </is>
      </c>
      <c r="F63" s="7" t="inlineStr">
        <is>
          <t>69 days ago</t>
        </is>
      </c>
      <c r="G63" s="7" t="inlineStr">
        <is>
          <t>searched, not cited in a cell</t>
        </is>
      </c>
    </row>
    <row r="64">
      <c r="B64" s="6" t="inlineStr">
        <is>
          <t>S59</t>
        </is>
      </c>
      <c r="C64" s="6" t="inlineStr">
        <is>
          <t>Quaise Energy Raises $134 Million to Build First-Ever Superhot ...</t>
        </is>
      </c>
      <c r="D64" s="6" t="inlineStr">
        <is>
          <t>https://www.esgtoday.com/quaise-energy-raises-134-million-to-build-first-ever-superhot-geothermal-power-plant/</t>
        </is>
      </c>
      <c r="E64" s="6" t="inlineStr">
        <is>
          <t>2026-09-29</t>
        </is>
      </c>
      <c r="F64" s="6" t="inlineStr">
        <is>
          <t>83 days ago</t>
        </is>
      </c>
      <c r="G64" s="6" t="inlineStr">
        <is>
          <t>searched, not cited in a cell</t>
        </is>
      </c>
    </row>
    <row r="65">
      <c r="B65" s="7" t="inlineStr">
        <is>
          <t>S60</t>
        </is>
      </c>
      <c r="C65" s="7" t="inlineStr">
        <is>
          <t>Quaise Energy Raises $134 Million in First Close of Series B to ...</t>
        </is>
      </c>
      <c r="D65" s="7" t="inlineStr">
        <is>
          <t>https://www.quaise.com/news/quaise-energy-raises-134-million-in-first-close-of-series-b-to-build-worlds-first-superhot-geothermal-power-plant</t>
        </is>
      </c>
      <c r="E65" s="7" t="inlineStr">
        <is>
          <t>2026-09-29</t>
        </is>
      </c>
      <c r="F65" s="7" t="inlineStr">
        <is>
          <t>75 days ago</t>
        </is>
      </c>
      <c r="G65" s="7" t="inlineStr">
        <is>
          <t>searched, not cited in a cell</t>
        </is>
      </c>
    </row>
    <row r="66">
      <c r="B66" s="6" t="inlineStr">
        <is>
          <t>S61</t>
        </is>
      </c>
      <c r="C66" s="6" t="inlineStr">
        <is>
          <t>Geothermal Basics</t>
        </is>
      </c>
      <c r="D66" s="6" t="inlineStr">
        <is>
          <t>https://www.energy.gov/hgeo/geothermal/geothermal-basics</t>
        </is>
      </c>
      <c r="E66" s="6" t="inlineStr">
        <is>
          <t>2026-09-29</t>
        </is>
      </c>
      <c r="F66" s="6" t="inlineStr">
        <is>
          <t>26 days ago</t>
        </is>
      </c>
      <c r="G66" s="6" t="inlineStr">
        <is>
          <t>searched, not cited in a cell</t>
        </is>
      </c>
    </row>
    <row r="67">
      <c r="B67" s="7" t="inlineStr">
        <is>
          <t>S62</t>
        </is>
      </c>
      <c r="C67" s="7" t="inlineStr">
        <is>
          <t>Drilling Down into the Cost of Geothermal Energy</t>
        </is>
      </c>
      <c r="D67" s="7" t="inlineStr">
        <is>
          <t>https://financere.nrel.gov/finance/content/drilling-down-cost-geothermal-energy</t>
        </is>
      </c>
      <c r="E67" s="7" t="inlineStr">
        <is>
          <t>2026-09-29</t>
        </is>
      </c>
      <c r="F67" s="7" t="inlineStr">
        <is>
          <t>5630 days ago</t>
        </is>
      </c>
      <c r="G67" s="7" t="inlineStr">
        <is>
          <t>'Fundamentals'!B19:F19; 'Fundamentals'!B21; 'Trends'!B52:D52; 'Trends'!B53:D53; 'Trends'!B54:D54; 'Trends'!B55:D55; 'Trends'!B56; 'Risks'!B12</t>
        </is>
      </c>
    </row>
    <row r="68">
      <c r="B68" s="6" t="inlineStr">
        <is>
          <t>S63</t>
        </is>
      </c>
      <c r="C68" s="6" t="inlineStr">
        <is>
          <t>Geothermal exploration</t>
        </is>
      </c>
      <c r="D68" s="6" t="inlineStr">
        <is>
          <t>https://en.wikipedia.org/wiki/Geothermal_exploration</t>
        </is>
      </c>
      <c r="E68" s="6" t="inlineStr">
        <is>
          <t>2026-09-29</t>
        </is>
      </c>
      <c r="F68" s="6" t="inlineStr"/>
      <c r="G68" s="6" t="inlineStr">
        <is>
          <t>searched, not cited in a cell</t>
        </is>
      </c>
    </row>
    <row r="69">
      <c r="B69" s="7" t="inlineStr">
        <is>
          <t>S64</t>
        </is>
      </c>
      <c r="C69" s="7" t="inlineStr">
        <is>
          <t>The State of Geothermal Technology Part I: Subsurface Technology</t>
        </is>
      </c>
      <c r="D69" s="7" t="inlineStr">
        <is>
          <t>https://www.geothermal.org/sites/default/files/2021-02/Geothermal_Technology_Part_I-Subsurface_Technology.pdf</t>
        </is>
      </c>
      <c r="E69" s="7" t="inlineStr">
        <is>
          <t>2026-09-29</t>
        </is>
      </c>
      <c r="F69" s="7" t="inlineStr">
        <is>
          <t>2067 days ago</t>
        </is>
      </c>
      <c r="G69" s="7" t="inlineStr">
        <is>
          <t>'Scope'!B6</t>
        </is>
      </c>
    </row>
    <row r="70">
      <c r="B70" s="6" t="inlineStr">
        <is>
          <t>S65</t>
        </is>
      </c>
      <c r="C70" s="6" t="inlineStr">
        <is>
          <t>Exploration Technique: Production Wells</t>
        </is>
      </c>
      <c r="D70" s="6" t="inlineStr">
        <is>
          <t>https://openei.org/wiki/Special:URIResolver/Production_Wells-23_ERRf73cc399b5ce12735a57f03414f09ef9</t>
        </is>
      </c>
      <c r="E70" s="6" t="inlineStr">
        <is>
          <t>2026-09-29</t>
        </is>
      </c>
      <c r="F70" s="6" t="inlineStr">
        <is>
          <t>47 days ago</t>
        </is>
      </c>
      <c r="G70" s="6" t="inlineStr">
        <is>
          <t>'Fundamentals'!B18:F18; 'Fundamentals'!B21; 'Trends'!B52:D52; 'Trends'!B53:D53; 'Trends'!B54:D54; 'Trends'!B55:D55; 'Trends'!B56</t>
        </is>
      </c>
    </row>
    <row r="71">
      <c r="B71" s="7" t="inlineStr">
        <is>
          <t>S66</t>
        </is>
      </c>
      <c r="C71" s="7" t="inlineStr">
        <is>
          <t>Cost and Performance Analysis of Enhanced Geothermal Systems (EGS)</t>
        </is>
      </c>
      <c r="D71" s="7" t="inlineStr">
        <is>
          <t>https://www.osti.gov/servlets/purl/1661353</t>
        </is>
      </c>
      <c r="E71" s="7" t="inlineStr">
        <is>
          <t>2026-09-29</t>
        </is>
      </c>
      <c r="F71" s="7" t="inlineStr"/>
      <c r="G71" s="7" t="inlineStr">
        <is>
          <t>searched, not cited in a cell</t>
        </is>
      </c>
    </row>
    <row r="72">
      <c r="B72" s="6" t="inlineStr">
        <is>
          <t>S67</t>
        </is>
      </c>
      <c r="C72" s="6" t="inlineStr">
        <is>
          <t>The Estimated Costs as a Function of Depth of Geothermal ...</t>
        </is>
      </c>
      <c r="D72" s="6" t="inlineStr">
        <is>
          <t>https://publications.mygeoenergynow.org/grc/1030220.pdf</t>
        </is>
      </c>
      <c r="E72" s="6" t="inlineStr">
        <is>
          <t>2026-09-29</t>
        </is>
      </c>
      <c r="F72" s="6" t="inlineStr"/>
      <c r="G72" s="6" t="inlineStr">
        <is>
          <t>searched, not cited in a cell</t>
        </is>
      </c>
    </row>
    <row r="73">
      <c r="B73" s="7" t="inlineStr">
        <is>
          <t>S68</t>
        </is>
      </c>
      <c r="C73" s="7" t="inlineStr">
        <is>
          <t>GeoThermalCloud: Machine Learning for Geothermal Resource Exploration</t>
        </is>
      </c>
      <c r="D73" s="7" t="inlineStr">
        <is>
          <t>https://arxiv.org/pdf/2210.08685</t>
        </is>
      </c>
      <c r="E73" s="7" t="inlineStr">
        <is>
          <t>2026-09-29</t>
        </is>
      </c>
      <c r="F73" s="7" t="inlineStr"/>
      <c r="G73" s="7" t="inlineStr">
        <is>
          <t>searched, not cited in a cell</t>
        </is>
      </c>
    </row>
    <row r="74">
      <c r="B74" s="6" t="inlineStr">
        <is>
          <t>S69</t>
        </is>
      </c>
      <c r="C74" s="6" t="inlineStr">
        <is>
          <t>Geothermal Power Technology Assessment</t>
        </is>
      </c>
      <c r="D74" s="6" t="inlineStr">
        <is>
          <t>https://www.energy.gov/sites/prod/files/2015/10/f27/QTR2015-4I-Geothermal-Power_0.pdf</t>
        </is>
      </c>
      <c r="E74" s="6" t="inlineStr">
        <is>
          <t>2026-09-29</t>
        </is>
      </c>
      <c r="F74" s="6" t="inlineStr"/>
      <c r="G74" s="6" t="inlineStr">
        <is>
          <t>searched, not cited in a cell</t>
        </is>
      </c>
    </row>
    <row r="75">
      <c r="B75" s="7" t="inlineStr">
        <is>
          <t>S70</t>
        </is>
      </c>
      <c r="C75" s="7" t="inlineStr">
        <is>
          <t>Exploration and Characterization</t>
        </is>
      </c>
      <c r="D75" s="7" t="inlineStr">
        <is>
          <t>https://www.energy.gov/hgeo/geothermal/exploration-and-characterization</t>
        </is>
      </c>
      <c r="E75" s="7" t="inlineStr">
        <is>
          <t>2026-09-29</t>
        </is>
      </c>
      <c r="F75" s="7" t="inlineStr">
        <is>
          <t>39 days ago</t>
        </is>
      </c>
      <c r="G75" s="7" t="inlineStr">
        <is>
          <t>searched, not cited in a cell</t>
        </is>
      </c>
    </row>
    <row r="76">
      <c r="B76" s="6" t="inlineStr">
        <is>
          <t>S71</t>
        </is>
      </c>
      <c r="C76" s="6" t="inlineStr">
        <is>
          <t>Geothermal Resource Investigations Project</t>
        </is>
      </c>
      <c r="D76" s="6" t="inlineStr">
        <is>
          <t>https://www.usgs.gov/centers/gmeg/science/geothermal-resource-investigations-project</t>
        </is>
      </c>
      <c r="E76" s="6" t="inlineStr">
        <is>
          <t>2026-09-29</t>
        </is>
      </c>
      <c r="F76" s="6" t="inlineStr">
        <is>
          <t>379 days ago</t>
        </is>
      </c>
      <c r="G76" s="6" t="inlineStr">
        <is>
          <t>searched, not cited in a cell</t>
        </is>
      </c>
    </row>
    <row r="77">
      <c r="B77" s="7" t="inlineStr">
        <is>
          <t>S72</t>
        </is>
      </c>
      <c r="C77" s="7" t="inlineStr">
        <is>
          <t>A vast hidden energy source is lurking beneath the US</t>
        </is>
      </c>
      <c r="D77" s="7" t="inlineStr">
        <is>
          <t>https://www.sciencefocus.com/news/energy-source-usa</t>
        </is>
      </c>
      <c r="E77" s="7" t="inlineStr">
        <is>
          <t>2026-09-29</t>
        </is>
      </c>
      <c r="F77" s="7" t="inlineStr">
        <is>
          <t>494 days ago</t>
        </is>
      </c>
      <c r="G77" s="7" t="inlineStr">
        <is>
          <t>searched, not cited in a cell</t>
        </is>
      </c>
    </row>
    <row r="78">
      <c r="B78" s="6" t="inlineStr">
        <is>
          <t>S73</t>
        </is>
      </c>
      <c r="C78" s="6" t="inlineStr">
        <is>
          <t>Is there way more conventional geothermal than we thought?</t>
        </is>
      </c>
      <c r="D78" s="6" t="inlineStr">
        <is>
          <t>https://www.volts.wtf/p/is-there-way-more-conventional-geothermal</t>
        </is>
      </c>
      <c r="E78" s="6" t="inlineStr">
        <is>
          <t>2026-09-29</t>
        </is>
      </c>
      <c r="F78" s="6" t="inlineStr">
        <is>
          <t>20 days ago</t>
        </is>
      </c>
      <c r="G78" s="6" t="inlineStr">
        <is>
          <t>searched, not cited in a cell</t>
        </is>
      </c>
    </row>
    <row r="79">
      <c r="B79" s="7" t="inlineStr">
        <is>
          <t>S74</t>
        </is>
      </c>
      <c r="C79" s="7" t="inlineStr">
        <is>
          <t>USGS Discovers Major Energy Boost for United States - Newsweek</t>
        </is>
      </c>
      <c r="D79" s="7" t="inlineStr">
        <is>
          <t>https://www.newsweek.com/nevada-basin-energy-boost-geothermal-2076859</t>
        </is>
      </c>
      <c r="E79" s="7" t="inlineStr">
        <is>
          <t>2026-09-29</t>
        </is>
      </c>
      <c r="F79" s="7" t="inlineStr">
        <is>
          <t>491 days ago</t>
        </is>
      </c>
      <c r="G79" s="7" t="inlineStr">
        <is>
          <t>searched, not cited in a cell</t>
        </is>
      </c>
    </row>
    <row r="80">
      <c r="B80" s="6" t="inlineStr">
        <is>
          <t>S75</t>
        </is>
      </c>
      <c r="C80" s="6" t="inlineStr">
        <is>
          <t>Resurging Interest in Utah's Geothermal Energy Resources - Utah ...</t>
        </is>
      </c>
      <c r="D80" s="6" t="inlineStr">
        <is>
          <t>https://geology.utah.gov/map-pub/survey-notes/resurging-interest-in-utahs-geothermal-energy-resources/</t>
        </is>
      </c>
      <c r="E80" s="6" t="inlineStr">
        <is>
          <t>2026-09-29</t>
        </is>
      </c>
      <c r="F80" s="6" t="inlineStr">
        <is>
          <t>637 days ago</t>
        </is>
      </c>
      <c r="G80" s="6" t="inlineStr">
        <is>
          <t>searched, not cited in a cell</t>
        </is>
      </c>
    </row>
    <row r="81">
      <c r="B81" s="7" t="inlineStr">
        <is>
          <t>S76</t>
        </is>
      </c>
      <c r="C81" s="7" t="inlineStr">
        <is>
          <t>Conventional hydrothermal power-producing systems of the Great ...</t>
        </is>
      </c>
      <c r="D81" s="7" t="inlineStr">
        <is>
          <t>https://www.usgs.gov/publications/conventional-hydrothermal-power-producing-systems-great-basin-usa</t>
        </is>
      </c>
      <c r="E81" s="7" t="inlineStr">
        <is>
          <t>2026-09-29</t>
        </is>
      </c>
      <c r="F81" s="7" t="inlineStr">
        <is>
          <t>104 days ago</t>
        </is>
      </c>
      <c r="G81" s="7" t="inlineStr">
        <is>
          <t>searched, not cited in a cell</t>
        </is>
      </c>
    </row>
    <row r="82">
      <c r="B82" s="6" t="inlineStr">
        <is>
          <t>S77</t>
        </is>
      </c>
      <c r="C82" s="6" t="inlineStr">
        <is>
          <t>Enhanced geothermal Systems in Great Basin Could Supply 10% of ...</t>
        </is>
      </c>
      <c r="D82" s="6" t="inlineStr">
        <is>
          <t>https://www.publicpower.org/periodical/article/enhanced-geothermal-systems-great-basin-could-supply-10-us-electricity-demand-usgs</t>
        </is>
      </c>
      <c r="E82" s="6" t="inlineStr">
        <is>
          <t>2026-09-29</t>
        </is>
      </c>
      <c r="F82" s="6" t="inlineStr">
        <is>
          <t>493 days ago</t>
        </is>
      </c>
      <c r="G82" s="6" t="inlineStr">
        <is>
          <t>searched, not cited in a cell</t>
        </is>
      </c>
    </row>
    <row r="83">
      <c r="B83" s="7" t="inlineStr">
        <is>
          <t>S78</t>
        </is>
      </c>
      <c r="C83" s="7" t="inlineStr">
        <is>
          <t>CX-101230 Discovering Blind Geothermal Systems in the Great Basin ...</t>
        </is>
      </c>
      <c r="D83" s="7" t="inlineStr">
        <is>
          <t>https://www.energy.gov/nepa/articles/cx-101230-discovering-blind-geothermal-systems-great-basin-region-integrated-geologic</t>
        </is>
      </c>
      <c r="E83" s="7" t="inlineStr">
        <is>
          <t>2026-09-29</t>
        </is>
      </c>
      <c r="F83" s="7" t="inlineStr">
        <is>
          <t>82 days ago</t>
        </is>
      </c>
      <c r="G83" s="7" t="inlineStr">
        <is>
          <t>searched, not cited in a cell</t>
        </is>
      </c>
    </row>
    <row r="84">
      <c r="B84" s="6" t="inlineStr">
        <is>
          <t>S79</t>
        </is>
      </c>
      <c r="C84" s="6" t="inlineStr">
        <is>
          <t>Nevada’s Great Basin geothermal energy could boost US power</t>
        </is>
      </c>
      <c r="D84" s="6" t="inlineStr">
        <is>
          <t>https://www.power-technology.com/news/usgs-geothermal-resources/</t>
        </is>
      </c>
      <c r="E84" s="6" t="inlineStr">
        <is>
          <t>2026-09-29</t>
        </is>
      </c>
      <c r="F84" s="6" t="inlineStr">
        <is>
          <t>494 days ago</t>
        </is>
      </c>
      <c r="G84" s="6" t="inlineStr">
        <is>
          <t>searched, not cited in a cell</t>
        </is>
      </c>
    </row>
    <row r="85">
      <c r="B85" s="7" t="inlineStr">
        <is>
          <t>S80</t>
        </is>
      </c>
      <c r="C85" s="7" t="inlineStr">
        <is>
          <t>Zanskar Raises $115 Million to Propel Geothermal Discoveries - ...</t>
        </is>
      </c>
      <c r="D85" s="7" t="inlineStr">
        <is>
          <t>https://heatmap.news/climate-tech/zanskar-series-c</t>
        </is>
      </c>
      <c r="E85" s="7" t="inlineStr">
        <is>
          <t>2026-09-29</t>
        </is>
      </c>
      <c r="F85" s="7" t="inlineStr">
        <is>
          <t>251 days ago</t>
        </is>
      </c>
      <c r="G85" s="7" t="inlineStr">
        <is>
          <t>'Trends'!B32:F32; 'Trends'!B33:F33; 'Trends'!B34:F34; 'Trends'!B35:F35; 'Trends'!B36:F36; 'Trends'!B37; 'Landscape'!B7:J7; 'Landscape'!B15</t>
        </is>
      </c>
    </row>
    <row r="86">
      <c r="B86" s="6" t="inlineStr">
        <is>
          <t>S81</t>
        </is>
      </c>
      <c r="C86" s="6" t="inlineStr">
        <is>
          <t>AI-powered geothermal energy start-up secures major funding to ...</t>
        </is>
      </c>
      <c r="D86" s="6" t="inlineStr">
        <is>
          <t>https://gcn.com/ai-geothermal-startup-funding-us-projects/17965</t>
        </is>
      </c>
      <c r="E86" s="6" t="inlineStr">
        <is>
          <t>2026-09-29</t>
        </is>
      </c>
      <c r="F86" s="6" t="inlineStr">
        <is>
          <t>243 days ago</t>
        </is>
      </c>
      <c r="G86" s="6" t="inlineStr">
        <is>
          <t>searched, not cited in a cell</t>
        </is>
      </c>
    </row>
    <row r="87">
      <c r="B87" s="7" t="inlineStr">
        <is>
          <t>S82</t>
        </is>
      </c>
      <c r="C87" s="7" t="inlineStr">
        <is>
          <t>Geothermal Startup Raises $134 Million for Drilling Superhot Rocks</t>
        </is>
      </c>
      <c r="D87" s="7" t="inlineStr">
        <is>
          <t>https://www.energyconnects.com/news/renewables/2026/july/geothermal-startup-raises-134-million-for-drilling-superhot-rocks/</t>
        </is>
      </c>
      <c r="E87" s="7" t="inlineStr">
        <is>
          <t>2026-09-29</t>
        </is>
      </c>
      <c r="F87" s="7" t="inlineStr">
        <is>
          <t>82 days ago</t>
        </is>
      </c>
      <c r="G87" s="7" t="inlineStr">
        <is>
          <t>searched, not cited in a cell</t>
        </is>
      </c>
    </row>
    <row r="88">
      <c r="B88" s="6" t="inlineStr">
        <is>
          <t>S83</t>
        </is>
      </c>
      <c r="C88" s="6" t="inlineStr">
        <is>
          <t>Old-School Geothermal Is Due for a Comeback, Says AI Startup - ...</t>
        </is>
      </c>
      <c r="D88" s="6" t="inlineStr">
        <is>
          <t>https://heatmap.news/climate-tech/ai-geothermal-discovery</t>
        </is>
      </c>
      <c r="E88" s="6" t="inlineStr">
        <is>
          <t>2026-09-29</t>
        </is>
      </c>
      <c r="F88" s="6" t="inlineStr">
        <is>
          <t>376 days ago</t>
        </is>
      </c>
      <c r="G88" s="6" t="inlineStr">
        <is>
          <t>'Landscape'!B7:J7; 'Landscape'!B15</t>
        </is>
      </c>
    </row>
    <row r="89">
      <c r="B89" s="7" t="inlineStr">
        <is>
          <t>S84</t>
        </is>
      </c>
      <c r="C89" s="7" t="inlineStr">
        <is>
          <t>Startup Successfully Uses AI to Find New Geothermal Energy Reservoirs ...</t>
        </is>
      </c>
      <c r="D89" s="7" t="inlineStr">
        <is>
          <t>https://hardware.slashdot.org/story/25/12/13/2211227/startup-successfully-uses-ai-to-find-new-geothermal-energy-reservoirs</t>
        </is>
      </c>
      <c r="E89" s="7" t="inlineStr">
        <is>
          <t>2026-09-29</t>
        </is>
      </c>
      <c r="F89" s="7" t="inlineStr">
        <is>
          <t>291 days ago</t>
        </is>
      </c>
      <c r="G89" s="7" t="inlineStr">
        <is>
          <t>searched, not cited in a cell</t>
        </is>
      </c>
    </row>
    <row r="90">
      <c r="B90" s="6" t="inlineStr">
        <is>
          <t>S85</t>
        </is>
      </c>
      <c r="C90" s="6" t="inlineStr">
        <is>
          <t>Zanskar Raises $115 Million to Scale AI-Driven Geothermal Energy ...</t>
        </is>
      </c>
      <c r="D90" s="6" t="inlineStr">
        <is>
          <t>https://esgtechreport.com/esg/zanskar-raises-115-million-to-scale-ai-driven-geothermal-energy/</t>
        </is>
      </c>
      <c r="E90" s="6" t="inlineStr">
        <is>
          <t>2026-09-29</t>
        </is>
      </c>
      <c r="F90" s="6" t="inlineStr">
        <is>
          <t>248 days ago</t>
        </is>
      </c>
      <c r="G90" s="6" t="inlineStr">
        <is>
          <t>searched, not cited in a cell</t>
        </is>
      </c>
    </row>
    <row r="91">
      <c r="B91" s="7" t="inlineStr">
        <is>
          <t>S86</t>
        </is>
      </c>
      <c r="C91" s="7" t="inlineStr">
        <is>
          <t>Zanskar's AI Uncovers Hidden Geothermal Energy, Secures $115M Funding ...</t>
        </is>
      </c>
      <c r="D91" s="7" t="inlineStr">
        <is>
          <t>https://www.indexbox.io/blog/zanskar-raises-115m-for-ai-driven-geothermal-exploration/</t>
        </is>
      </c>
      <c r="E91" s="7" t="inlineStr">
        <is>
          <t>2026-09-29</t>
        </is>
      </c>
      <c r="F91" s="7" t="inlineStr">
        <is>
          <t>251 days ago</t>
        </is>
      </c>
      <c r="G91" s="7" t="inlineStr">
        <is>
          <t>searched, not cited in a cell</t>
        </is>
      </c>
    </row>
    <row r="92">
      <c r="B92" s="6" t="inlineStr">
        <is>
          <t>S87</t>
        </is>
      </c>
      <c r="C92" s="6" t="inlineStr">
        <is>
          <t>Terra AI's $20M Mineral Discovery Funding Round Explained</t>
        </is>
      </c>
      <c r="D92" s="6" t="inlineStr">
        <is>
          <t>https://discoveryalert.com/terra-ai-mineral-discovery-funding-ai-mining-2026/</t>
        </is>
      </c>
      <c r="E92" s="6" t="inlineStr">
        <is>
          <t>2026-09-29</t>
        </is>
      </c>
      <c r="F92" s="6" t="inlineStr">
        <is>
          <t>36 days ago</t>
        </is>
      </c>
      <c r="G92" s="6" t="inlineStr">
        <is>
          <t>searched, not cited in a cell</t>
        </is>
      </c>
    </row>
    <row r="93">
      <c r="B93" s="7" t="inlineStr">
        <is>
          <t>S88</t>
        </is>
      </c>
      <c r="C93" s="7" t="inlineStr">
        <is>
          <t>Top 25 Geothermal Energy startups 2026</t>
        </is>
      </c>
      <c r="D93" s="7" t="inlineStr">
        <is>
          <t>https://www.energystartups.org/top/geothermal/</t>
        </is>
      </c>
      <c r="E93" s="7" t="inlineStr">
        <is>
          <t>2026-09-29</t>
        </is>
      </c>
      <c r="F93" s="7" t="inlineStr">
        <is>
          <t>12 days ago</t>
        </is>
      </c>
      <c r="G93" s="7" t="inlineStr">
        <is>
          <t>searched, not cited in a cell</t>
        </is>
      </c>
    </row>
    <row r="94">
      <c r="B94" s="6" t="inlineStr">
        <is>
          <t>S89</t>
        </is>
      </c>
      <c r="C94" s="6" t="inlineStr">
        <is>
          <t>Zanskar Raises $115 Million Series C to Scale AI-Driven Geothermal ...</t>
        </is>
      </c>
      <c r="D94" s="6" t="inlineStr">
        <is>
          <t>https://www.tipranks.com/news/private-companies/zanskar-raises-115-million-series-c-to-scale-ai-driven-geothermal-development-across-western-u-s</t>
        </is>
      </c>
      <c r="E94" s="6" t="inlineStr">
        <is>
          <t>2026-09-29</t>
        </is>
      </c>
      <c r="F94" s="6" t="inlineStr">
        <is>
          <t>251 days ago</t>
        </is>
      </c>
      <c r="G94" s="6" t="inlineStr">
        <is>
          <t>searched, not cited in a cell</t>
        </is>
      </c>
    </row>
    <row r="95">
      <c r="B95" s="7" t="inlineStr">
        <is>
          <t>S90</t>
        </is>
      </c>
      <c r="C95" s="7" t="inlineStr">
        <is>
          <t>Zanskar Raises $115 Million to Scale AI-Driven Geothermal Discovery ...</t>
        </is>
      </c>
      <c r="D95" s="7" t="inlineStr">
        <is>
          <t>https://esgnews.com/zanskar-raises-115-million-to-scale-ai-driven-geothermal-discovery-and-power-plant-development/</t>
        </is>
      </c>
      <c r="E95" s="7" t="inlineStr">
        <is>
          <t>2026-09-29</t>
        </is>
      </c>
      <c r="F95" s="7" t="inlineStr">
        <is>
          <t>249 days ago</t>
        </is>
      </c>
      <c r="G95" s="7" t="inlineStr">
        <is>
          <t>searched, not cited in a cell</t>
        </is>
      </c>
    </row>
    <row r="96">
      <c r="B96" s="6" t="inlineStr">
        <is>
          <t>S91</t>
        </is>
      </c>
      <c r="C96" s="6" t="inlineStr">
        <is>
          <t>Zanskar raises $115M Series C Following Record-Setting Year of ...</t>
        </is>
      </c>
      <c r="D96" s="6" t="inlineStr">
        <is>
          <t>https://telcomagazine.com/globenewswire/3222733</t>
        </is>
      </c>
      <c r="E96" s="6" t="inlineStr">
        <is>
          <t>2026-09-29</t>
        </is>
      </c>
      <c r="F96" s="6" t="inlineStr">
        <is>
          <t>251 days ago</t>
        </is>
      </c>
      <c r="G96" s="6" t="inlineStr">
        <is>
          <t>searched, not cited in a cell</t>
        </is>
      </c>
    </row>
    <row r="97">
      <c r="B97" s="7" t="inlineStr">
        <is>
          <t>S92</t>
        </is>
      </c>
      <c r="C97" s="7" t="inlineStr">
        <is>
          <t>Fervo Energy, Enhanced Geothermal Power Developer, Files for NASDAQ ...</t>
        </is>
      </c>
      <c r="D97" s="7" t="inlineStr">
        <is>
          <t>https://www.tradingview.com/news/tradingview:6d943ee25d9a0:0-fervo-energy-enhanced-geothermal-power-developer-files-for-nasdaq-1-9b-ipo/</t>
        </is>
      </c>
      <c r="E97" s="7" t="inlineStr">
        <is>
          <t>2026-09-29</t>
        </is>
      </c>
      <c r="F97" s="7" t="inlineStr">
        <is>
          <t>138 days ago</t>
        </is>
      </c>
      <c r="G97" s="7" t="inlineStr">
        <is>
          <t>searched, not cited in a cell</t>
        </is>
      </c>
    </row>
    <row r="98">
      <c r="B98" s="6" t="inlineStr">
        <is>
          <t>S93</t>
        </is>
      </c>
      <c r="C98" s="6" t="inlineStr">
        <is>
          <t>Fervo Energy files for IPO, targets Nasdaq listing</t>
        </is>
      </c>
      <c r="D98" s="6" t="inlineStr">
        <is>
          <t>https://www.thinkgeoenergy.com/fervo-energy-files-for-ipo-targets-nasdaq-listing/</t>
        </is>
      </c>
      <c r="E98" s="6" t="inlineStr">
        <is>
          <t>2026-09-29</t>
        </is>
      </c>
      <c r="F98" s="6" t="inlineStr">
        <is>
          <t>165 days ago</t>
        </is>
      </c>
      <c r="G98" s="6" t="inlineStr">
        <is>
          <t>searched, not cited in a cell</t>
        </is>
      </c>
    </row>
    <row r="99">
      <c r="B99" s="7" t="inlineStr">
        <is>
          <t>S94</t>
        </is>
      </c>
      <c r="C99" s="7" t="inlineStr">
        <is>
          <t>Fervo Energy launches $1.2bn IPO on Nasdaq</t>
        </is>
      </c>
      <c r="D99" s="7" t="inlineStr">
        <is>
          <t>https://www.thinkgeoenergy.com/fervo-energy-launches-1-2bn-ipo-on-nasdaq/</t>
        </is>
      </c>
      <c r="E99" s="7" t="inlineStr">
        <is>
          <t>2026-09-29</t>
        </is>
      </c>
      <c r="F99" s="7" t="inlineStr">
        <is>
          <t>147 days ago</t>
        </is>
      </c>
      <c r="G99" s="7" t="inlineStr">
        <is>
          <t>searched, not cited in a cell</t>
        </is>
      </c>
    </row>
    <row r="100">
      <c r="B100" s="6" t="inlineStr">
        <is>
          <t>S95</t>
        </is>
      </c>
      <c r="C100" s="6" t="inlineStr">
        <is>
          <t>Fervo Energy IPO: Stock surges in Nasdaq debut</t>
        </is>
      </c>
      <c r="D100" s="6" t="inlineStr">
        <is>
          <t>https://finance.yahoo.com/markets/stocks/articles/fervo-energy-ipo-stock-surges-125618514.html</t>
        </is>
      </c>
      <c r="E100" s="6" t="inlineStr">
        <is>
          <t>2026-09-29</t>
        </is>
      </c>
      <c r="F100" s="6" t="inlineStr">
        <is>
          <t>138 days ago</t>
        </is>
      </c>
      <c r="G100" s="6" t="inlineStr">
        <is>
          <t>searched, not cited in a cell</t>
        </is>
      </c>
    </row>
    <row r="101">
      <c r="B101" s="7" t="inlineStr">
        <is>
          <t>S96</t>
        </is>
      </c>
      <c r="C101" s="7" t="inlineStr">
        <is>
          <t>The IPO Buzz: Fervo Energy (FRVO) Prices IPO at $27</t>
        </is>
      </c>
      <c r="D101" s="7" t="inlineStr">
        <is>
          <t>https://www.iposcoop.com/the-ipo-buzz-fervo-energy-frvo-prices-ipo-at-27-1-above-range/</t>
        </is>
      </c>
      <c r="E101" s="7" t="inlineStr">
        <is>
          <t>2026-09-29</t>
        </is>
      </c>
      <c r="F101" s="7" t="inlineStr">
        <is>
          <t>141 days ago</t>
        </is>
      </c>
      <c r="G101" s="7" t="inlineStr">
        <is>
          <t>searched, not cited in a cell</t>
        </is>
      </c>
    </row>
    <row r="102">
      <c r="B102" s="6" t="inlineStr">
        <is>
          <t>S97</t>
        </is>
      </c>
      <c r="C102" s="6" t="inlineStr">
        <is>
          <t>Fervo Energy IPO Overview &amp; Pre-IPO History</t>
        </is>
      </c>
      <c r="D102" s="6" t="inlineStr">
        <is>
          <t>https://www.nasdaqprivatemarket.com/company/fervo-energy/</t>
        </is>
      </c>
      <c r="E102" s="6" t="inlineStr">
        <is>
          <t>2026-09-29</t>
        </is>
      </c>
      <c r="F102" s="6" t="inlineStr">
        <is>
          <t>13 days ago</t>
        </is>
      </c>
      <c r="G102" s="6" t="inlineStr">
        <is>
          <t>searched, not cited in a cell</t>
        </is>
      </c>
    </row>
    <row r="103">
      <c r="B103" s="7" t="inlineStr">
        <is>
          <t>S98</t>
        </is>
      </c>
      <c r="C103" s="7" t="inlineStr">
        <is>
          <t>Fervo Energy Announces Upsized Proposed Initial Public Offering ...</t>
        </is>
      </c>
      <c r="D103" s="7" t="inlineStr">
        <is>
          <t>https://fervoenergy.com/fervo-energy-announces-upsized-proposed-initial-public-offering/</t>
        </is>
      </c>
      <c r="E103" s="7" t="inlineStr">
        <is>
          <t>2026-09-29</t>
        </is>
      </c>
      <c r="F103" s="7" t="inlineStr">
        <is>
          <t>141 days ago</t>
        </is>
      </c>
      <c r="G103" s="7" t="inlineStr">
        <is>
          <t>searched, not cited in a cell</t>
        </is>
      </c>
    </row>
    <row r="104">
      <c r="B104" s="6" t="inlineStr">
        <is>
          <t>S99</t>
        </is>
      </c>
      <c r="C104" s="6" t="inlineStr">
        <is>
          <t>Fervo Energy Co.</t>
        </is>
      </c>
      <c r="D104" s="6" t="inlineStr">
        <is>
          <t>https://www.iposcoop.com/ipo/fervo-energy/</t>
        </is>
      </c>
      <c r="E104" s="6" t="inlineStr">
        <is>
          <t>2026-09-29</t>
        </is>
      </c>
      <c r="F104" s="6" t="inlineStr">
        <is>
          <t>140 days ago</t>
        </is>
      </c>
      <c r="G104" s="6" t="inlineStr">
        <is>
          <t>searched, not cited in a cell</t>
        </is>
      </c>
    </row>
    <row r="105">
      <c r="B105" s="7" t="inlineStr">
        <is>
          <t>S100</t>
        </is>
      </c>
      <c r="C105" s="7" t="inlineStr">
        <is>
          <t>Fervo Energy Announces Launch of its Initial Public Offering - ...</t>
        </is>
      </c>
      <c r="D105" s="7" t="inlineStr">
        <is>
          <t>https://fervoenergy.com/fervo-energy-announces-launch-of-its-initial-public-offering/</t>
        </is>
      </c>
      <c r="E105" s="7" t="inlineStr">
        <is>
          <t>2026-09-29</t>
        </is>
      </c>
      <c r="F105" s="7" t="inlineStr">
        <is>
          <t>148 days ago</t>
        </is>
      </c>
      <c r="G105" s="7" t="inlineStr">
        <is>
          <t>searched, not cited in a cell</t>
        </is>
      </c>
    </row>
    <row r="106">
      <c r="B106" s="6" t="inlineStr">
        <is>
          <t>S101</t>
        </is>
      </c>
      <c r="C106" s="6" t="inlineStr">
        <is>
          <t>Exclusive: Mazama Energy raises $135M for superhot geothermal</t>
        </is>
      </c>
      <c r="D106" s="6" t="inlineStr">
        <is>
          <t>https://www.axios.com/pro/climate-deals/2026/09/17/mazama-energy-superhot-geothermal</t>
        </is>
      </c>
      <c r="E106" s="6" t="inlineStr">
        <is>
          <t>2026-09-29</t>
        </is>
      </c>
      <c r="F106" s="6" t="inlineStr">
        <is>
          <t>12 days ago</t>
        </is>
      </c>
      <c r="G106" s="6" t="inlineStr">
        <is>
          <t>'Trends'!B32:F32; 'Trends'!B33:F33; 'Trends'!B34:F34; 'Trends'!B35:F35; 'Trends'!B36:F36; 'Trends'!B37; 'Landscape'!B12:J12; 'Landscape'!B15</t>
        </is>
      </c>
    </row>
    <row r="107">
      <c r="B107" s="7" t="inlineStr">
        <is>
          <t>S102</t>
        </is>
      </c>
      <c r="C107" s="7" t="inlineStr">
        <is>
          <t>Mazama Energy raises $135M for superhot geothermal at…</t>
        </is>
      </c>
      <c r="D107" s="7" t="inlineStr">
        <is>
          <t>https://www.canarymedia.com/articles/geothermal/mazama-energy-raises-135m-oregon-geothermal</t>
        </is>
      </c>
      <c r="E107" s="7" t="inlineStr">
        <is>
          <t>2026-09-29</t>
        </is>
      </c>
      <c r="F107" s="7" t="inlineStr">
        <is>
          <t>12 days ago</t>
        </is>
      </c>
      <c r="G107" s="7" t="inlineStr">
        <is>
          <t>searched, not cited in a cell</t>
        </is>
      </c>
    </row>
    <row r="108">
      <c r="B108" s="6" t="inlineStr">
        <is>
          <t>S103</t>
        </is>
      </c>
      <c r="C108" s="6" t="inlineStr">
        <is>
          <t>Mazama Energy raises $135M to support commercial-scale superhot ...</t>
        </is>
      </c>
      <c r="D108" s="6" t="inlineStr">
        <is>
          <t>https://www.thinkgeoenergy.com/mazama-energy-raises-135m-to-support-commercial-scale-superhot-geothermal-development/</t>
        </is>
      </c>
      <c r="E108" s="6" t="inlineStr">
        <is>
          <t>2026-09-29</t>
        </is>
      </c>
      <c r="F108" s="6" t="inlineStr">
        <is>
          <t>12 days ago</t>
        </is>
      </c>
      <c r="G108" s="6" t="inlineStr">
        <is>
          <t>'Landscape'!B12:J12; 'Landscape'!B15</t>
        </is>
      </c>
    </row>
    <row r="109">
      <c r="B109" s="7" t="inlineStr">
        <is>
          <t>S104</t>
        </is>
      </c>
      <c r="C109" s="7" t="inlineStr">
        <is>
          <t>“Superhot” Geothermal Startup Mazama Raises $135 Million - ...</t>
        </is>
      </c>
      <c r="D109" s="7" t="inlineStr">
        <is>
          <t>https://www.esgtoday.com/superhot-geothermal-startup-mazama-raises-135-million/</t>
        </is>
      </c>
      <c r="E109" s="7" t="inlineStr">
        <is>
          <t>2026-09-29</t>
        </is>
      </c>
      <c r="F109" s="7" t="inlineStr">
        <is>
          <t>11 days ago</t>
        </is>
      </c>
      <c r="G109" s="7" t="inlineStr">
        <is>
          <t>searched, not cited in a cell</t>
        </is>
      </c>
    </row>
    <row r="110">
      <c r="B110" s="6" t="inlineStr">
        <is>
          <t>S105</t>
        </is>
      </c>
      <c r="C110" s="6" t="inlineStr">
        <is>
          <t>US firm eyes world's hottest engineered geothermal power system</t>
        </is>
      </c>
      <c r="D110" s="6" t="inlineStr">
        <is>
          <t>https://interestingengineering.com/energy/us-geothermal-startup-750f-breakthrough</t>
        </is>
      </c>
      <c r="E110" s="6" t="inlineStr">
        <is>
          <t>2026-09-29</t>
        </is>
      </c>
      <c r="F110" s="6" t="inlineStr">
        <is>
          <t>11 days ago</t>
        </is>
      </c>
      <c r="G110" s="6" t="inlineStr">
        <is>
          <t>searched, not cited in a cell</t>
        </is>
      </c>
    </row>
    <row r="111">
      <c r="B111" s="7" t="inlineStr">
        <is>
          <t>S106</t>
        </is>
      </c>
      <c r="C111" s="7" t="inlineStr">
        <is>
          <t>Khosla-backed Mazama Energy just raised $135M to drill deeper into ...</t>
        </is>
      </c>
      <c r="D111" s="7" t="inlineStr">
        <is>
          <t>https://techcrunch.com/2026/09/17/khosla-backed-mazama-energy-just-raised-135m-to-drill-deeper-into-super-hot-rock-geothermal/</t>
        </is>
      </c>
      <c r="E111" s="7" t="inlineStr">
        <is>
          <t>2026-09-29</t>
        </is>
      </c>
      <c r="F111" s="7" t="inlineStr">
        <is>
          <t>11 days ago</t>
        </is>
      </c>
      <c r="G111" s="7" t="inlineStr">
        <is>
          <t>searched, not cited in a cell</t>
        </is>
      </c>
    </row>
    <row r="112">
      <c r="B112" s="6" t="inlineStr">
        <is>
          <t>S107</t>
        </is>
      </c>
      <c r="C112" s="6" t="inlineStr">
        <is>
          <t>Scoop: Mazama Energy raising $100M for superhot geothermal power</t>
        </is>
      </c>
      <c r="D112" s="6" t="inlineStr">
        <is>
          <t>https://www.axios.com/pro/climate-deals/2026/04/15/mazama-energy-superhot-geothermal-fundraise</t>
        </is>
      </c>
      <c r="E112" s="6" t="inlineStr">
        <is>
          <t>2026-09-29</t>
        </is>
      </c>
      <c r="F112" s="6" t="inlineStr">
        <is>
          <t>167 days ago</t>
        </is>
      </c>
      <c r="G112" s="6" t="inlineStr">
        <is>
          <t>searched, not cited in a cell</t>
        </is>
      </c>
    </row>
    <row r="113">
      <c r="B113" s="7" t="inlineStr">
        <is>
          <t>S108</t>
        </is>
      </c>
      <c r="C113" s="7" t="inlineStr">
        <is>
          <t>Mazama Energy Raises $135 Million to Scale the World’s Hottest ...</t>
        </is>
      </c>
      <c r="D113" s="7" t="inlineStr">
        <is>
          <t>https://finance.yahoo.com/energy/articles/mazama-energy-raises-135-million-130000245.html</t>
        </is>
      </c>
      <c r="E113" s="7" t="inlineStr">
        <is>
          <t>2026-09-29</t>
        </is>
      </c>
      <c r="F113" s="7" t="inlineStr">
        <is>
          <t>12 days ago</t>
        </is>
      </c>
      <c r="G113" s="7" t="inlineStr">
        <is>
          <t>searched, not cited in a cell</t>
        </is>
      </c>
    </row>
    <row r="114">
      <c r="B114" s="6" t="inlineStr">
        <is>
          <t>S109</t>
        </is>
      </c>
      <c r="C114" s="6" t="inlineStr">
        <is>
          <t>Mazama Energy raises $135m for Newberry geothermal project</t>
        </is>
      </c>
      <c r="D114" s="6" t="inlineStr">
        <is>
          <t>https://bendbulletin.com/2026/09/18/mazama-energy-raises-135m-for-newberry-geothermal-project/</t>
        </is>
      </c>
      <c r="E114" s="6" t="inlineStr">
        <is>
          <t>2026-09-29</t>
        </is>
      </c>
      <c r="F114" s="6" t="inlineStr">
        <is>
          <t>11 days ago</t>
        </is>
      </c>
      <c r="G114" s="6" t="inlineStr">
        <is>
          <t>searched, not cited in a cell</t>
        </is>
      </c>
    </row>
    <row r="115">
      <c r="B115" s="7" t="inlineStr">
        <is>
          <t>S110</t>
        </is>
      </c>
      <c r="C115" s="7" t="inlineStr">
        <is>
          <t>Mazama Energy Raises $135 Million to Scale the World’s Hottest ...</t>
        </is>
      </c>
      <c r="D115" s="7" t="inlineStr">
        <is>
          <t>https://energydigital.com/globenewswire/3364060</t>
        </is>
      </c>
      <c r="E115" s="7" t="inlineStr">
        <is>
          <t>2026-09-29</t>
        </is>
      </c>
      <c r="F115" s="7" t="inlineStr">
        <is>
          <t>12 days ago</t>
        </is>
      </c>
      <c r="G115" s="7" t="inlineStr">
        <is>
          <t>searched, not cited in a cell</t>
        </is>
      </c>
    </row>
    <row r="116">
      <c r="B116" s="6" t="inlineStr">
        <is>
          <t>S111</t>
        </is>
      </c>
      <c r="C116" s="6" t="inlineStr">
        <is>
          <t>Hot and bothered about geothermal energy</t>
        </is>
      </c>
      <c r="D116" s="6" t="inlineStr">
        <is>
          <t>https://www.canarymedia.com/articles/geothermal/hot-and-bothered-about-geothermal-energy</t>
        </is>
      </c>
      <c r="E116" s="6" t="inlineStr">
        <is>
          <t>2026-09-29</t>
        </is>
      </c>
      <c r="F116" s="6" t="inlineStr">
        <is>
          <t>1975 days ago</t>
        </is>
      </c>
      <c r="G116" s="6" t="inlineStr">
        <is>
          <t>searched, not cited in a cell</t>
        </is>
      </c>
    </row>
    <row r="117">
      <c r="B117" s="7" t="inlineStr">
        <is>
          <t>S112</t>
        </is>
      </c>
      <c r="C117" s="7" t="inlineStr">
        <is>
          <t>German mining firm Hades Mining secures €5.5M pre-seed round ...</t>
        </is>
      </c>
      <c r="D117" s="7" t="inlineStr">
        <is>
          <t>https://www.vestbee.com/insights/articles/hades-mining-secures-5-5-m</t>
        </is>
      </c>
      <c r="E117" s="7" t="inlineStr">
        <is>
          <t>2026-09-29</t>
        </is>
      </c>
      <c r="F117" s="7" t="inlineStr">
        <is>
          <t>405 days ago</t>
        </is>
      </c>
      <c r="G117" s="7" t="inlineStr">
        <is>
          <t>searched, not cited in a cell</t>
        </is>
      </c>
    </row>
    <row r="118">
      <c r="B118" s="6" t="inlineStr">
        <is>
          <t>S113</t>
        </is>
      </c>
      <c r="C118" s="6" t="inlineStr">
        <is>
          <t>Imaging Complex Subsurface Structures for Geothermal Exploration ...</t>
        </is>
      </c>
      <c r="D118" s="6" t="inlineStr">
        <is>
          <t>https://www.osti.gov/biblio/1833449</t>
        </is>
      </c>
      <c r="E118" s="6" t="inlineStr">
        <is>
          <t>2026-09-29</t>
        </is>
      </c>
      <c r="F118" s="6" t="inlineStr">
        <is>
          <t>1771 days ago</t>
        </is>
      </c>
      <c r="G118" s="6" t="inlineStr">
        <is>
          <t>searched, not cited in a cell</t>
        </is>
      </c>
    </row>
    <row r="119">
      <c r="B119" s="7" t="inlineStr">
        <is>
          <t>S114</t>
        </is>
      </c>
      <c r="C119" s="7" t="inlineStr">
        <is>
          <t>Geothermal exploration imaging</t>
        </is>
      </c>
      <c r="D119" s="7" t="inlineStr">
        <is>
          <t>http://zonge.com/services/explorationists/geothermal/</t>
        </is>
      </c>
      <c r="E119" s="7" t="inlineStr">
        <is>
          <t>2026-09-29</t>
        </is>
      </c>
      <c r="F119" s="7" t="inlineStr">
        <is>
          <t>4010 days ago</t>
        </is>
      </c>
      <c r="G119" s="7" t="inlineStr">
        <is>
          <t>searched, not cited in a cell</t>
        </is>
      </c>
    </row>
    <row r="120">
      <c r="B120" s="6" t="inlineStr">
        <is>
          <t>S115</t>
        </is>
      </c>
      <c r="C120" s="6" t="inlineStr">
        <is>
          <t>Optimizing geothermal drilling targets with GeoFlow Imaging’s ...</t>
        </is>
      </c>
      <c r="D120" s="6" t="inlineStr">
        <is>
          <t>https://www.thinkgeoenergy.com/optimizing-geothermal-drilling-targets-with-geoflow-imagings-technology/</t>
        </is>
      </c>
      <c r="E120" s="6" t="inlineStr">
        <is>
          <t>2026-09-29</t>
        </is>
      </c>
      <c r="F120" s="6" t="inlineStr">
        <is>
          <t>820 days ago</t>
        </is>
      </c>
      <c r="G120" s="6" t="inlineStr">
        <is>
          <t>searched, not cited in a cell</t>
        </is>
      </c>
    </row>
    <row r="121">
      <c r="B121" s="7" t="inlineStr">
        <is>
          <t>S116</t>
        </is>
      </c>
      <c r="C121" s="7" t="inlineStr">
        <is>
          <t>Fiber Seismic Tomography for Geothermal Exploration</t>
        </is>
      </c>
      <c r="D121" s="7" t="inlineStr">
        <is>
          <t>https://pangea.stanford.edu/ERE/db/GeoConf/papers/SGW/2024/Biondi.pdf</t>
        </is>
      </c>
      <c r="E121" s="7" t="inlineStr">
        <is>
          <t>2026-09-29</t>
        </is>
      </c>
      <c r="F121" s="7" t="inlineStr"/>
      <c r="G121" s="7" t="inlineStr">
        <is>
          <t>searched, not cited in a cell</t>
        </is>
      </c>
    </row>
    <row r="122">
      <c r="B122" s="6" t="inlineStr">
        <is>
          <t>S117</t>
        </is>
      </c>
      <c r="C122" s="6" t="inlineStr">
        <is>
          <t>EERE Success Story—GTO Funding Supports Push to Identify New ...</t>
        </is>
      </c>
      <c r="D122" s="6" t="inlineStr">
        <is>
          <t>https://www.energy.gov/hgeo/geothermal/articles/eere-success-story-gto-funding-supports-push-identify-new-geothermal-plays</t>
        </is>
      </c>
      <c r="E122" s="6" t="inlineStr">
        <is>
          <t>2026-09-29</t>
        </is>
      </c>
      <c r="F122" s="6" t="inlineStr">
        <is>
          <t>138 days ago</t>
        </is>
      </c>
      <c r="G122" s="6" t="inlineStr">
        <is>
          <t>searched, not cited in a cell</t>
        </is>
      </c>
    </row>
    <row r="123">
      <c r="B123" s="7" t="inlineStr">
        <is>
          <t>S118</t>
        </is>
      </c>
      <c r="C123" s="7" t="inlineStr">
        <is>
          <t>Geothermal geophysical analysis</t>
        </is>
      </c>
      <c r="D123" s="7" t="inlineStr">
        <is>
          <t>https://www.slb.com/products-and-services/innovating-in-oil-and-gas/reservoir-characterization/seismic/geosolutions-services/energy-transition-geophysical-solutions/geothermal-geophysical-analysis</t>
        </is>
      </c>
      <c r="E123" s="7" t="inlineStr">
        <is>
          <t>2026-09-29</t>
        </is>
      </c>
      <c r="F123" s="7" t="inlineStr">
        <is>
          <t>364 days ago</t>
        </is>
      </c>
      <c r="G123" s="7" t="inlineStr">
        <is>
          <t>searched, not cited in a cell</t>
        </is>
      </c>
    </row>
    <row r="124">
      <c r="B124" s="6" t="inlineStr">
        <is>
          <t>S119</t>
        </is>
      </c>
      <c r="C124" s="6" t="inlineStr">
        <is>
          <t>Imaging subsurface structures near wells in the northwest Geysers ...</t>
        </is>
      </c>
      <c r="D124" s="6" t="inlineStr">
        <is>
          <t>https://pmc.ncbi.nlm.nih.gov/articles/PMC13530241/</t>
        </is>
      </c>
      <c r="E124" s="6" t="inlineStr">
        <is>
          <t>2026-09-29</t>
        </is>
      </c>
      <c r="F124" s="6" t="inlineStr">
        <is>
          <t>107 days ago</t>
        </is>
      </c>
      <c r="G124" s="6" t="inlineStr">
        <is>
          <t>searched, not cited in a cell</t>
        </is>
      </c>
    </row>
    <row r="125">
      <c r="B125" s="7" t="inlineStr">
        <is>
          <t>S120</t>
        </is>
      </c>
      <c r="C125" s="7" t="inlineStr">
        <is>
          <t>Sage Geosystems: Over $97 Million Series B Closed To Launch First ...</t>
        </is>
      </c>
      <c r="D125" s="7" t="inlineStr">
        <is>
          <t>https://pulse2.com/sage-geosystems-over-97-million-series-b/</t>
        </is>
      </c>
      <c r="E125" s="7" t="inlineStr">
        <is>
          <t>2026-09-29</t>
        </is>
      </c>
      <c r="F125" s="7" t="inlineStr">
        <is>
          <t>252 days ago</t>
        </is>
      </c>
      <c r="G125" s="7" t="inlineStr">
        <is>
          <t>searched, not cited in a cell</t>
        </is>
      </c>
    </row>
    <row r="126">
      <c r="B126" s="6" t="inlineStr">
        <is>
          <t>S121</t>
        </is>
      </c>
      <c r="C126" s="6" t="inlineStr">
        <is>
          <t>Sage Geosystems closes $97 million Series B funding round to support ...</t>
        </is>
      </c>
      <c r="D126" s="6" t="inlineStr">
        <is>
          <t>https://www.thinkgeoenergy.com/sage-geosystems-closes-97-million-series-b-funding-round-to-support-pressure-geothermal-deployment/</t>
        </is>
      </c>
      <c r="E126" s="6" t="inlineStr">
        <is>
          <t>2026-09-29</t>
        </is>
      </c>
      <c r="F126" s="6" t="inlineStr">
        <is>
          <t>251 days ago</t>
        </is>
      </c>
      <c r="G126" s="6" t="inlineStr">
        <is>
          <t>'Landscape'!B9:J9; 'Landscape'!B15</t>
        </is>
      </c>
    </row>
    <row r="127">
      <c r="B127" s="7" t="inlineStr">
        <is>
          <t>S122</t>
        </is>
      </c>
      <c r="C127" s="7" t="inlineStr">
        <is>
          <t>Sage Geosystems Raises Over $97M To Deploy Commercial Pressure ...</t>
        </is>
      </c>
      <c r="D127" s="7" t="inlineStr">
        <is>
          <t>https://www.renewableenergymagazine.com/geothermal/sage-geosystems-raises-over-97m-to-deploy-20260127</t>
        </is>
      </c>
      <c r="E127" s="7" t="inlineStr">
        <is>
          <t>2026-09-29</t>
        </is>
      </c>
      <c r="F127" s="7" t="inlineStr">
        <is>
          <t>235 days ago</t>
        </is>
      </c>
      <c r="G127" s="7" t="inlineStr">
        <is>
          <t>searched, not cited in a cell</t>
        </is>
      </c>
    </row>
    <row r="128">
      <c r="B128" s="6" t="inlineStr">
        <is>
          <t>S123</t>
        </is>
      </c>
      <c r="C128" s="6" t="inlineStr">
        <is>
          <t>Meta-backed geothermal firm Sage closes $97m funding round, announces ...</t>
        </is>
      </c>
      <c r="D128" s="6" t="inlineStr">
        <is>
          <t>https://www.datacenterdynamics.com/en/news/meta-backed-geothermal-firm-sage-closes-97m-funding-round-announces-first-commercial-facility/</t>
        </is>
      </c>
      <c r="E128" s="6" t="inlineStr">
        <is>
          <t>2026-09-29</t>
        </is>
      </c>
      <c r="F128" s="6" t="inlineStr">
        <is>
          <t>113 days ago</t>
        </is>
      </c>
      <c r="G128" s="6" t="inlineStr">
        <is>
          <t>'Landscape'!B9:J9; 'Landscape'!B15</t>
        </is>
      </c>
    </row>
    <row r="129">
      <c r="B129" s="7" t="inlineStr">
        <is>
          <t>S124</t>
        </is>
      </c>
      <c r="C129" s="7" t="inlineStr">
        <is>
          <t>$97M boost for Sage Geosystems’ pioneering geothermal energy plant</t>
        </is>
      </c>
      <c r="D129" s="7" t="inlineStr">
        <is>
          <t>https://www.bicmagazine.com/api/amp/industry/investment-banking/97m-boost-for-sage-geosystems-pioneering-geothermal-energy/</t>
        </is>
      </c>
      <c r="E129" s="7" t="inlineStr">
        <is>
          <t>2026-09-29</t>
        </is>
      </c>
      <c r="F129" s="7" t="inlineStr">
        <is>
          <t>251 days ago</t>
        </is>
      </c>
      <c r="G129" s="7" t="inlineStr">
        <is>
          <t>searched, not cited in a cell</t>
        </is>
      </c>
    </row>
    <row r="130">
      <c r="B130" s="6" t="inlineStr">
        <is>
          <t>S125</t>
        </is>
      </c>
      <c r="C130" s="6" t="inlineStr">
        <is>
          <t>Sage Geosystems Raises Over $97 Million To Deploy World’s First ...</t>
        </is>
      </c>
      <c r="D130" s="6" t="inlineStr">
        <is>
          <t>https://www.businesswire.com/news/home/20260121330914/en/Sage-Geosystems-Raises-Over-$97-Million-To-Deploy-Worlds-First-Commercial-Pressure-Geothermal-Power-Generation-Facility</t>
        </is>
      </c>
      <c r="E130" s="6" t="inlineStr">
        <is>
          <t>2026-09-29</t>
        </is>
      </c>
      <c r="F130" s="6" t="inlineStr">
        <is>
          <t>251 days ago</t>
        </is>
      </c>
      <c r="G130" s="6" t="inlineStr">
        <is>
          <t>'Landscape'!B9:J9; 'Landscape'!B15</t>
        </is>
      </c>
    </row>
    <row r="131">
      <c r="B131" s="7" t="inlineStr">
        <is>
          <t>S126</t>
        </is>
      </c>
      <c r="C131" s="7" t="inlineStr">
        <is>
          <t>Sage Geosystems raises $97M Series B for next-gen power - ...</t>
        </is>
      </c>
      <c r="D131" s="7" t="inlineStr">
        <is>
          <t>https://houston.innovationmap.com/sage-geosystems-series-b-2675057096.html</t>
        </is>
      </c>
      <c r="E131" s="7" t="inlineStr">
        <is>
          <t>2026-09-29</t>
        </is>
      </c>
      <c r="F131" s="7" t="inlineStr">
        <is>
          <t>238 days ago</t>
        </is>
      </c>
      <c r="G131" s="7" t="inlineStr">
        <is>
          <t>searched, not cited in a cell</t>
        </is>
      </c>
    </row>
    <row r="132">
      <c r="B132" s="6" t="inlineStr">
        <is>
          <t>S127</t>
        </is>
      </c>
      <c r="C132" s="6" t="inlineStr">
        <is>
          <t>Ormat Technologies Announces Co-Lead of Series B Investment in ...</t>
        </is>
      </c>
      <c r="D132" s="6" t="inlineStr">
        <is>
          <t>https://www.nasdaq.com/press-release/ormat-technologies-announces-co-lead-series-b-investment-sage-geosystems-advance-next</t>
        </is>
      </c>
      <c r="E132" s="6" t="inlineStr">
        <is>
          <t>2026-09-29</t>
        </is>
      </c>
      <c r="F132" s="6" t="inlineStr">
        <is>
          <t>252 days ago</t>
        </is>
      </c>
      <c r="G132" s="6" t="inlineStr">
        <is>
          <t>'Landscape'!B9:J9; 'Landscape'!B15</t>
        </is>
      </c>
    </row>
    <row r="133">
      <c r="B133" s="7" t="inlineStr">
        <is>
          <t>S128</t>
        </is>
      </c>
      <c r="C133" s="7" t="inlineStr">
        <is>
          <t>Ormat Technologies Inc. - Ormat Technologies Announces Co-Lead ...</t>
        </is>
      </c>
      <c r="D133" s="7" t="inlineStr">
        <is>
          <t>https://investor.ormat.com/news-events/news/news-details/2026/Ormat-Technologies-Announces-Co-Lead-of-Series-B-Investment-in-Sage-Geosystems-to-Advance-Next-Generation-Geothermal-Technology/default.aspx</t>
        </is>
      </c>
      <c r="E133" s="7" t="inlineStr">
        <is>
          <t>2026-09-29</t>
        </is>
      </c>
      <c r="F133" s="7" t="inlineStr">
        <is>
          <t>252 days ago</t>
        </is>
      </c>
      <c r="G133" s="7" t="inlineStr">
        <is>
          <t>searched, not cited in a cell</t>
        </is>
      </c>
    </row>
    <row r="134">
      <c r="B134" s="6" t="inlineStr">
        <is>
          <t>S129</t>
        </is>
      </c>
      <c r="C134" s="6" t="inlineStr">
        <is>
          <t>Sage Geosystems Geothermal 2026, 150 MW Meta PPA - EnkiAI</t>
        </is>
      </c>
      <c r="D134" s="6" t="inlineStr">
        <is>
          <t>https://enkiai.com/geothermal/sage-geosystems-commercial-projects-houston/</t>
        </is>
      </c>
      <c r="E134" s="6" t="inlineStr">
        <is>
          <t>2026-09-29</t>
        </is>
      </c>
      <c r="F134" s="6" t="inlineStr">
        <is>
          <t>54 days ago</t>
        </is>
      </c>
      <c r="G134" s="6" t="inlineStr">
        <is>
          <t>searched, not cited in a cell</t>
        </is>
      </c>
    </row>
    <row r="135">
      <c r="B135" s="7" t="inlineStr">
        <is>
          <t>S130</t>
        </is>
      </c>
      <c r="C135" s="7" t="inlineStr">
        <is>
          <t>Quaise Energy Raises $180 Million Series B To Build First Superhot ...</t>
        </is>
      </c>
      <c r="D135" s="7" t="inlineStr">
        <is>
          <t>https://pulse2.com/quaise-energy-raises-180-million-series-b-to-build-first-superhot-geothermal-plant/</t>
        </is>
      </c>
      <c r="E135" s="7" t="inlineStr">
        <is>
          <t>2026-09-29</t>
        </is>
      </c>
      <c r="F135" s="7" t="inlineStr">
        <is>
          <t>34 days ago</t>
        </is>
      </c>
      <c r="G135" s="7" t="inlineStr">
        <is>
          <t>searched, not cited in a cell</t>
        </is>
      </c>
    </row>
    <row r="136">
      <c r="B136" s="6" t="inlineStr">
        <is>
          <t>S131</t>
        </is>
      </c>
      <c r="C136" s="6" t="inlineStr">
        <is>
          <t>Quaise Energy Closes $180 Million Series B with $35 Million ...</t>
        </is>
      </c>
      <c r="D136" s="6" t="inlineStr">
        <is>
          <t>https://finance.yahoo.com/energy/articles/quaise-energy-closes-180-million-110500307.html</t>
        </is>
      </c>
      <c r="E136" s="6" t="inlineStr">
        <is>
          <t>2026-09-29</t>
        </is>
      </c>
      <c r="F136" s="6" t="inlineStr">
        <is>
          <t>33 days ago</t>
        </is>
      </c>
      <c r="G136" s="6" t="inlineStr">
        <is>
          <t>searched, not cited in a cell</t>
        </is>
      </c>
    </row>
    <row r="137">
      <c r="B137" s="7" t="inlineStr">
        <is>
          <t>S132</t>
        </is>
      </c>
      <c r="C137" s="7" t="inlineStr">
        <is>
          <t>Superhot Geothermal Just Got A $180 Million Vote Of Confidence ...</t>
        </is>
      </c>
      <c r="D137" s="7" t="inlineStr">
        <is>
          <t>https://oilprice.com/Energy/Energy-General/Superhot-Geothermal-Just-Got-A-180-Million-Vote-Of-Confidence.html</t>
        </is>
      </c>
      <c r="E137" s="7" t="inlineStr">
        <is>
          <t>2026-09-29</t>
        </is>
      </c>
      <c r="F137" s="7" t="inlineStr">
        <is>
          <t>27 days ago</t>
        </is>
      </c>
      <c r="G137" s="7" t="inlineStr">
        <is>
          <t>searched, not cited in a cell</t>
        </is>
      </c>
    </row>
    <row r="138">
      <c r="B138" s="6" t="inlineStr">
        <is>
          <t>S133</t>
        </is>
      </c>
      <c r="C138" s="6" t="inlineStr">
        <is>
          <t>Quaise raises $180 million in final close of Series B to fund ...</t>
        </is>
      </c>
      <c r="D138" s="6" t="inlineStr">
        <is>
          <t>https://www.thinkgeoenergy.com/quaise-raises-180-million-in-final-close-of-series-b-to-fund-superhot-geothermal-project/</t>
        </is>
      </c>
      <c r="E138" s="6" t="inlineStr">
        <is>
          <t>2026-09-29</t>
        </is>
      </c>
      <c r="F138" s="6" t="inlineStr">
        <is>
          <t>32 days ago</t>
        </is>
      </c>
      <c r="G138" s="6" t="inlineStr">
        <is>
          <t>searched, not cited in a cell</t>
        </is>
      </c>
    </row>
    <row r="139">
      <c r="B139" s="7" t="inlineStr">
        <is>
          <t>S134</t>
        </is>
      </c>
      <c r="C139" s="7" t="inlineStr">
        <is>
          <t>Quaise Energy raises $180m for Project Obsidian geothermal plant</t>
        </is>
      </c>
      <c r="D139" s="7" t="inlineStr">
        <is>
          <t>https://finance.yahoo.com/energy/articles/quaise-energy-raises-180m-project-085632444.html</t>
        </is>
      </c>
      <c r="E139" s="7" t="inlineStr">
        <is>
          <t>2026-09-29</t>
        </is>
      </c>
      <c r="F139" s="7" t="inlineStr">
        <is>
          <t>32 days ago</t>
        </is>
      </c>
      <c r="G139" s="7" t="inlineStr">
        <is>
          <t>searched, not cited in a cell</t>
        </is>
      </c>
    </row>
    <row r="140">
      <c r="B140" s="6" t="inlineStr">
        <is>
          <t>S135</t>
        </is>
      </c>
      <c r="C140" s="6" t="inlineStr">
        <is>
          <t>Quaise Energy bumps Series B to $180M with Nabors investment - ...</t>
        </is>
      </c>
      <c r="D140" s="6" t="inlineStr">
        <is>
          <t>https://energycapitalhtx.com/quaise-nabors-series-b180m</t>
        </is>
      </c>
      <c r="E140" s="6" t="inlineStr">
        <is>
          <t>2026-09-29</t>
        </is>
      </c>
      <c r="F140" s="6" t="inlineStr">
        <is>
          <t>29 days ago</t>
        </is>
      </c>
      <c r="G140" s="6" t="inlineStr">
        <is>
          <t>searched, not cited in a cell</t>
        </is>
      </c>
    </row>
    <row r="141">
      <c r="B141" s="7" t="inlineStr">
        <is>
          <t>S136</t>
        </is>
      </c>
      <c r="C141" s="7" t="inlineStr">
        <is>
          <t>Quaise Energy Closes $180M Series B to Commercialize Ultradeep ...</t>
        </is>
      </c>
      <c r="D141" s="7" t="inlineStr">
        <is>
          <t>https://en.wowtale.net/2026/08/28/234915/</t>
        </is>
      </c>
      <c r="E141" s="7" t="inlineStr">
        <is>
          <t>2026-09-29</t>
        </is>
      </c>
      <c r="F141" s="7" t="inlineStr">
        <is>
          <t>32 days ago</t>
        </is>
      </c>
      <c r="G141" s="7" t="inlineStr">
        <is>
          <t>searched, not cited in a cell</t>
        </is>
      </c>
    </row>
    <row r="142">
      <c r="B142" s="6" t="inlineStr">
        <is>
          <t>S137</t>
        </is>
      </c>
      <c r="C142" s="6" t="inlineStr">
        <is>
          <t>Quaise Energy Raises $180M in Series B Funding</t>
        </is>
      </c>
      <c r="D142" s="6" t="inlineStr">
        <is>
          <t>https://www.finsmes.com/2026/08/quaise-energy-raises-180m-in-series-b-funding.html</t>
        </is>
      </c>
      <c r="E142" s="6" t="inlineStr">
        <is>
          <t>2026-09-29</t>
        </is>
      </c>
      <c r="F142" s="6" t="inlineStr">
        <is>
          <t>33 days ago</t>
        </is>
      </c>
      <c r="G142" s="6" t="inlineStr">
        <is>
          <t>searched, not cited in a cell</t>
        </is>
      </c>
    </row>
    <row r="143">
      <c r="B143" s="7" t="inlineStr">
        <is>
          <t>S138</t>
        </is>
      </c>
      <c r="C143" s="7" t="inlineStr">
        <is>
          <t>XGS Energy Selected by U.S. DOE to Advance Next-Generation Geothermal ...</t>
        </is>
      </c>
      <c r="D143" s="7" t="inlineStr">
        <is>
          <t>https://www.renewableenergymagazine.com/geothermal/xgs-energy-selected-by-u-s-doe-20260928</t>
        </is>
      </c>
      <c r="E143" s="7" t="inlineStr">
        <is>
          <t>2026-09-29</t>
        </is>
      </c>
      <c r="F143" s="7" t="inlineStr">
        <is>
          <t>1 days ago</t>
        </is>
      </c>
      <c r="G143" s="7" t="inlineStr">
        <is>
          <t>'Landscape'!B11:J11; 'Landscape'!B15</t>
        </is>
      </c>
    </row>
    <row r="144">
      <c r="B144" s="6" t="inlineStr">
        <is>
          <t>S139</t>
        </is>
      </c>
      <c r="C144" s="6" t="inlineStr">
        <is>
          <t>XGS Energy wins DoE funding for New Mexico geothermal well</t>
        </is>
      </c>
      <c r="D144" s="6" t="inlineStr">
        <is>
          <t>https://www.energymonitor.ai/news/xgs-energy-new-mexico-geothermal/</t>
        </is>
      </c>
      <c r="E144" s="6" t="inlineStr">
        <is>
          <t>2026-09-29</t>
        </is>
      </c>
      <c r="F144" s="6" t="inlineStr">
        <is>
          <t>0 days ago</t>
        </is>
      </c>
      <c r="G144" s="6" t="inlineStr">
        <is>
          <t>searched, not cited in a cell</t>
        </is>
      </c>
    </row>
    <row r="145">
      <c r="B145" s="7" t="inlineStr">
        <is>
          <t>S140</t>
        </is>
      </c>
      <c r="C145" s="7" t="inlineStr">
        <is>
          <t>US: XGS Energy selected by U.S. Department of Energy to advance ...</t>
        </is>
      </c>
      <c r="D145" s="7" t="inlineStr">
        <is>
          <t>https://www.energy-pedia.com/news/usa/xgs-energy-selected-by-u-s--department-of-energy-to-advance-next-generation-geothermal-development-in-new-mexico-205480</t>
        </is>
      </c>
      <c r="E145" s="7" t="inlineStr">
        <is>
          <t>2026-09-29</t>
        </is>
      </c>
      <c r="F145" s="7" t="inlineStr"/>
      <c r="G145" s="7" t="inlineStr">
        <is>
          <t>searched, not cited in a cell</t>
        </is>
      </c>
    </row>
    <row r="146">
      <c r="B146" s="6" t="inlineStr">
        <is>
          <t>S141</t>
        </is>
      </c>
      <c r="C146" s="6" t="inlineStr">
        <is>
          <t>Meta and XGS Energy Team Up for Geothermal Project in New Mexico ...</t>
        </is>
      </c>
      <c r="D146" s="6" t="inlineStr">
        <is>
          <t>https://environmentenergyleader.com/stories/meta-xgs-150mw-geothermal-new-mexico,81173</t>
        </is>
      </c>
      <c r="E146" s="6" t="inlineStr">
        <is>
          <t>2026-09-29</t>
        </is>
      </c>
      <c r="F146" s="6" t="inlineStr">
        <is>
          <t>18 days ago</t>
        </is>
      </c>
      <c r="G146" s="6" t="inlineStr">
        <is>
          <t>searched, not cited in a cell</t>
        </is>
      </c>
    </row>
    <row r="147">
      <c r="B147" s="7" t="inlineStr">
        <is>
          <t>S142</t>
        </is>
      </c>
      <c r="C147" s="7" t="inlineStr">
        <is>
          <t>XGS inks partnership to advance Meta’s New Mexico geothermal ...</t>
        </is>
      </c>
      <c r="D147" s="7" t="inlineStr">
        <is>
          <t>https://www.esgdive.com/news/xgs-inks-partnership-to-advance-metas-new-mexico-geothermal-plant/815695/</t>
        </is>
      </c>
      <c r="E147" s="7" t="inlineStr">
        <is>
          <t>2026-09-29</t>
        </is>
      </c>
      <c r="F147" s="7" t="inlineStr">
        <is>
          <t>188 days ago</t>
        </is>
      </c>
      <c r="G147" s="7" t="inlineStr">
        <is>
          <t>searched, not cited in a cell</t>
        </is>
      </c>
    </row>
    <row r="148">
      <c r="B148" s="6" t="inlineStr">
        <is>
          <t>S143</t>
        </is>
      </c>
      <c r="C148" s="6" t="inlineStr">
        <is>
          <t>XGS partners with Baker Hughes to advance Meta-linked 150MW ...</t>
        </is>
      </c>
      <c r="D148" s="6" t="inlineStr">
        <is>
          <t>https://www.datacenterdynamics.com/en/news/xgs-partners-with-baker-hughes-to-advance-meta-linked-150mw-geothermal-project-in-new-mexico/</t>
        </is>
      </c>
      <c r="E148" s="6" t="inlineStr">
        <is>
          <t>2026-09-29</t>
        </is>
      </c>
      <c r="F148" s="6" t="inlineStr">
        <is>
          <t>132 days ago</t>
        </is>
      </c>
      <c r="G148" s="6" t="inlineStr">
        <is>
          <t>searched, not cited in a cell</t>
        </is>
      </c>
    </row>
    <row r="149">
      <c r="B149" s="7" t="inlineStr">
        <is>
          <t>S144</t>
        </is>
      </c>
      <c r="C149" s="7" t="inlineStr">
        <is>
          <t>XGS Energy and Baker Hughes Collaborate to Advance Geothermal ...</t>
        </is>
      </c>
      <c r="D149" s="7" t="inlineStr">
        <is>
          <t>https://www.renewableenergymagazine.com/geothermal/xgs-energy-and-baker-hughes-collaborate-to-20260326</t>
        </is>
      </c>
      <c r="E149" s="7" t="inlineStr">
        <is>
          <t>2026-09-29</t>
        </is>
      </c>
      <c r="F149" s="7" t="inlineStr">
        <is>
          <t>174 days ago</t>
        </is>
      </c>
      <c r="G149" s="7" t="inlineStr">
        <is>
          <t>searched, not cited in a cell</t>
        </is>
      </c>
    </row>
    <row r="150">
      <c r="B150" s="6" t="inlineStr">
        <is>
          <t>S145</t>
        </is>
      </c>
      <c r="C150" s="6" t="inlineStr">
        <is>
          <t>Meta signs geothermal power deal for New Mexico data centers</t>
        </is>
      </c>
      <c r="D150" s="6" t="inlineStr">
        <is>
          <t>https://www.facilitiesdive.com/news/meta-xgs-energy-announce-geothermal-deal-new-mexico-data-centers-ai/751054/</t>
        </is>
      </c>
      <c r="E150" s="6" t="inlineStr">
        <is>
          <t>2026-09-29</t>
        </is>
      </c>
      <c r="F150" s="6" t="inlineStr">
        <is>
          <t>468 days ago</t>
        </is>
      </c>
      <c r="G150" s="6" t="inlineStr">
        <is>
          <t>searched, not cited in a cell</t>
        </is>
      </c>
    </row>
    <row r="151">
      <c r="B151" s="7" t="inlineStr">
        <is>
          <t>S146</t>
        </is>
      </c>
      <c r="C151" s="7" t="inlineStr">
        <is>
          <t>Meta signs geothermal power deal for New Mexico data centers</t>
        </is>
      </c>
      <c r="D151" s="7" t="inlineStr">
        <is>
          <t>https://www.utilitydive.com/news/meta-xgs-energy-announce-geothermal-deal-new-mexico-data-centers-ai/750913/</t>
        </is>
      </c>
      <c r="E151" s="7" t="inlineStr">
        <is>
          <t>2026-09-29</t>
        </is>
      </c>
      <c r="F151" s="7" t="inlineStr">
        <is>
          <t>469 days ago</t>
        </is>
      </c>
      <c r="G151" s="7" t="inlineStr">
        <is>
          <t>searched, not cited in a cell</t>
        </is>
      </c>
    </row>
    <row r="152">
      <c r="B152" s="6" t="inlineStr">
        <is>
          <t>S147</t>
        </is>
      </c>
      <c r="C152" s="6" t="inlineStr">
        <is>
          <t>Geothermal Startup Bedrock Energy Secures $12M Series A Raise</t>
        </is>
      </c>
      <c r="D152" s="6" t="inlineStr">
        <is>
          <t>https://commercialobserver.com/2025/01/geothermal-startup-bedrock-energy-secures-12m-series-a-raise/</t>
        </is>
      </c>
      <c r="E152" s="6" t="inlineStr">
        <is>
          <t>2026-09-29</t>
        </is>
      </c>
      <c r="F152" s="6" t="inlineStr">
        <is>
          <t>616 days ago</t>
        </is>
      </c>
      <c r="G152" s="6" t="inlineStr">
        <is>
          <t>searched, not cited in a cell</t>
        </is>
      </c>
    </row>
    <row r="153">
      <c r="B153" s="7" t="inlineStr">
        <is>
          <t>S148</t>
        </is>
      </c>
      <c r="C153" s="7" t="inlineStr">
        <is>
          <t>Bedrock Energy Secures $12M to Expand Geothermal in the Mountain ...</t>
        </is>
      </c>
      <c r="D153" s="7" t="inlineStr">
        <is>
          <t>https://www.thedriller.com/articles/93291-bedrock-energy-secures-12m-to-expand-geothermal-in-the-mountain-west</t>
        </is>
      </c>
      <c r="E153" s="7" t="inlineStr">
        <is>
          <t>2026-09-29</t>
        </is>
      </c>
      <c r="F153" s="7" t="inlineStr">
        <is>
          <t>600 days ago</t>
        </is>
      </c>
      <c r="G153" s="7" t="inlineStr">
        <is>
          <t>searched, not cited in a cell</t>
        </is>
      </c>
    </row>
    <row r="154">
      <c r="B154" s="6" t="inlineStr">
        <is>
          <t>S149</t>
        </is>
      </c>
      <c r="C154" s="6" t="inlineStr">
        <is>
          <t>Bedrock Energy Raises $12M Series A to Scale Geothermal Heating ...</t>
        </is>
      </c>
      <c r="D154" s="6" t="inlineStr">
        <is>
          <t>https://www.nasdaq.com/press-release/bedrock-energy-raises-12m-series-scale-geothermal-heating-and-cooling-2025-01-22</t>
        </is>
      </c>
      <c r="E154" s="6" t="inlineStr">
        <is>
          <t>2026-09-29</t>
        </is>
      </c>
      <c r="F154" s="6" t="inlineStr">
        <is>
          <t>616 days ago</t>
        </is>
      </c>
      <c r="G154" s="6" t="inlineStr">
        <is>
          <t>searched, not cited in a cell</t>
        </is>
      </c>
    </row>
    <row r="155">
      <c r="B155" s="7" t="inlineStr">
        <is>
          <t>S150</t>
        </is>
      </c>
      <c r="C155" s="7" t="inlineStr">
        <is>
          <t>Bedrock Energy secures $12m in funding to scale business</t>
        </is>
      </c>
      <c r="D155" s="7" t="inlineStr">
        <is>
          <t>https://www.thinkgeoenergy.com/bedrock-energy-secures-12m-in-funding-to-scale-business/</t>
        </is>
      </c>
      <c r="E155" s="7" t="inlineStr">
        <is>
          <t>2026-09-29</t>
        </is>
      </c>
      <c r="F155" s="7" t="inlineStr">
        <is>
          <t>615 days ago</t>
        </is>
      </c>
      <c r="G155" s="7" t="inlineStr">
        <is>
          <t>searched, not cited in a cell</t>
        </is>
      </c>
    </row>
    <row r="156">
      <c r="B156" s="6" t="inlineStr">
        <is>
          <t>S151</t>
        </is>
      </c>
      <c r="C156" s="6" t="inlineStr">
        <is>
          <t>Bedrock Energy: $12 Million (Series A) Secured For Scaling Geothermal ...</t>
        </is>
      </c>
      <c r="D156" s="6" t="inlineStr">
        <is>
          <t>https://pulse2.com/bedrock-energy-12-million-series-a-secured-for-scaling-geothermal-heating-and-cooling/</t>
        </is>
      </c>
      <c r="E156" s="6" t="inlineStr">
        <is>
          <t>2026-09-29</t>
        </is>
      </c>
      <c r="F156" s="6" t="inlineStr">
        <is>
          <t>612 days ago</t>
        </is>
      </c>
      <c r="G156" s="6" t="inlineStr">
        <is>
          <t>searched, not cited in a cell</t>
        </is>
      </c>
    </row>
    <row r="157">
      <c r="B157" s="7" t="inlineStr">
        <is>
          <t>S152</t>
        </is>
      </c>
      <c r="C157" s="7" t="inlineStr">
        <is>
          <t>Bedrock Energy Secures $12M Series A to Advance Geothermal Heating ...</t>
        </is>
      </c>
      <c r="D157" s="7" t="inlineStr">
        <is>
          <t>https://refindustry.com/news/bedrock-energy-secures-12m-series-a-to-advance-geothermal-heating-and-cooling/</t>
        </is>
      </c>
      <c r="E157" s="7" t="inlineStr">
        <is>
          <t>2026-09-29</t>
        </is>
      </c>
      <c r="F157" s="7" t="inlineStr">
        <is>
          <t>610 days ago</t>
        </is>
      </c>
      <c r="G157" s="7" t="inlineStr">
        <is>
          <t>searched, not cited in a cell</t>
        </is>
      </c>
    </row>
    <row r="158">
      <c r="B158" s="6" t="inlineStr">
        <is>
          <t>S153</t>
        </is>
      </c>
      <c r="C158" s="6" t="inlineStr">
        <is>
          <t>Bedrock Energy Raises $12 Million to Scale Geothermal Heating and ...</t>
        </is>
      </c>
      <c r="D158" s="6" t="inlineStr">
        <is>
          <t>https://www.renewableenergymagazine.com/geothermal/bedrock-energy-raises-12-million-to-scale-20250123</t>
        </is>
      </c>
      <c r="E158" s="6" t="inlineStr">
        <is>
          <t>2026-09-29</t>
        </is>
      </c>
      <c r="F158" s="6" t="inlineStr">
        <is>
          <t>606 days ago</t>
        </is>
      </c>
      <c r="G158" s="6" t="inlineStr">
        <is>
          <t>searched, not cited in a cell</t>
        </is>
      </c>
    </row>
    <row r="159">
      <c r="B159" s="7" t="inlineStr">
        <is>
          <t>S154</t>
        </is>
      </c>
      <c r="C159" s="7" t="inlineStr">
        <is>
          <t>Titanium Ventures Leads Series A Round in Bedrock Energy: Pioneering ...</t>
        </is>
      </c>
      <c r="D159" s="7" t="inlineStr">
        <is>
          <t>https://ti.vc/titanium-ventures-leads-series-a-round-in-bedrock-energy-pioneering-the-next-generation-of-geothermal-solutions/</t>
        </is>
      </c>
      <c r="E159" s="7" t="inlineStr">
        <is>
          <t>2026-09-29</t>
        </is>
      </c>
      <c r="F159" s="7" t="inlineStr">
        <is>
          <t>616 days ago</t>
        </is>
      </c>
      <c r="G159" s="7" t="inlineStr">
        <is>
          <t>searched, not cited in a cell</t>
        </is>
      </c>
    </row>
    <row r="160">
      <c r="B160" s="6" t="inlineStr">
        <is>
          <t>S155</t>
        </is>
      </c>
      <c r="C160" s="6" t="inlineStr">
        <is>
          <t>Bedrock Energy Raises $12M Series A</t>
        </is>
      </c>
      <c r="D160" s="6" t="inlineStr">
        <is>
          <t>https://www.citybiz.co/article/651734/bedrock-energy-raises-12m-series-a-2/</t>
        </is>
      </c>
      <c r="E160" s="6" t="inlineStr">
        <is>
          <t>2026-09-29</t>
        </is>
      </c>
      <c r="F160" s="6" t="inlineStr">
        <is>
          <t>614 days ago</t>
        </is>
      </c>
      <c r="G160" s="6" t="inlineStr">
        <is>
          <t>searched, not cited in a cell</t>
        </is>
      </c>
    </row>
    <row r="161">
      <c r="B161" s="7" t="inlineStr">
        <is>
          <t>S156</t>
        </is>
      </c>
      <c r="C161" s="7" t="inlineStr">
        <is>
          <t>Bedrock Energy Raises $12M in Series A Funding</t>
        </is>
      </c>
      <c r="D161" s="7" t="inlineStr">
        <is>
          <t>https://www.finsmes.com/2025/01/bedrock-energy-raises-12m-in-series-a-funding.html</t>
        </is>
      </c>
      <c r="E161" s="7" t="inlineStr">
        <is>
          <t>2026-09-29</t>
        </is>
      </c>
      <c r="F161" s="7" t="inlineStr">
        <is>
          <t>615 days ago</t>
        </is>
      </c>
      <c r="G161" s="7" t="inlineStr">
        <is>
          <t>searched, not cited in a cell</t>
        </is>
      </c>
    </row>
    <row r="162">
      <c r="B162" s="6" t="inlineStr">
        <is>
          <t>S157</t>
        </is>
      </c>
      <c r="C162" s="6" t="inlineStr">
        <is>
          <t>Eavor receives over €130M in financing for Geretsried geothermal ...</t>
        </is>
      </c>
      <c r="D162" s="6" t="inlineStr">
        <is>
          <t>https://www.thinkgeoenergy.com/eavor-receives-130m-in-financing-geretsried-geothermal-germany/</t>
        </is>
      </c>
      <c r="E162" s="6" t="inlineStr">
        <is>
          <t>2026-09-29</t>
        </is>
      </c>
      <c r="F162" s="6" t="inlineStr">
        <is>
          <t>869 days ago</t>
        </is>
      </c>
      <c r="G162" s="6" t="inlineStr">
        <is>
          <t>'Landscape'!B14:J14; 'Landscape'!B15</t>
        </is>
      </c>
    </row>
    <row r="163">
      <c r="B163" s="7" t="inlineStr">
        <is>
          <t>S158</t>
        </is>
      </c>
      <c r="C163" s="7" t="inlineStr">
        <is>
          <t>Capital Raise of $182 Million Confirms Eavor as the Leader in ...</t>
        </is>
      </c>
      <c r="D163" s="7" t="inlineStr">
        <is>
          <t>https://finance.yahoo.com/news/capital-raise-182-million-confirms-203000076.html</t>
        </is>
      </c>
      <c r="E163" s="7" t="inlineStr">
        <is>
          <t>2026-09-29</t>
        </is>
      </c>
      <c r="F163" s="7" t="inlineStr">
        <is>
          <t>1070 days ago</t>
        </is>
      </c>
      <c r="G163" s="7" t="inlineStr">
        <is>
          <t>searched, not cited in a cell</t>
        </is>
      </c>
    </row>
    <row r="164">
      <c r="B164" s="6" t="inlineStr">
        <is>
          <t>S159</t>
        </is>
      </c>
      <c r="C164" s="6" t="inlineStr">
        <is>
          <t>Eavor completes $182 million equity round to advance closed-loop ...</t>
        </is>
      </c>
      <c r="D164" s="6" t="inlineStr">
        <is>
          <t>https://www.thinkgeoenergy.com/eavor-completes-182-million-equity-round-to-advance-closed-loop-geothermal/</t>
        </is>
      </c>
      <c r="E164" s="6" t="inlineStr">
        <is>
          <t>2026-09-29</t>
        </is>
      </c>
      <c r="F164" s="6" t="inlineStr">
        <is>
          <t>475 days ago</t>
        </is>
      </c>
      <c r="G164" s="6" t="inlineStr">
        <is>
          <t>'Landscape'!B14:J14; 'Landscape'!B15</t>
        </is>
      </c>
    </row>
    <row r="165">
      <c r="B165" s="7" t="inlineStr">
        <is>
          <t>S160</t>
        </is>
      </c>
      <c r="C165" s="7" t="inlineStr">
        <is>
          <t>Eavor's 2024</t>
        </is>
      </c>
      <c r="D165" s="7" t="inlineStr">
        <is>
          <t>https://eavor.com/year-in-review-2024/</t>
        </is>
      </c>
      <c r="E165" s="7" t="inlineStr">
        <is>
          <t>2026-09-29</t>
        </is>
      </c>
      <c r="F165" s="7" t="inlineStr">
        <is>
          <t>519 days ago</t>
        </is>
      </c>
      <c r="G165" s="7" t="inlineStr">
        <is>
          <t>searched, not cited in a cell</t>
        </is>
      </c>
    </row>
    <row r="166">
      <c r="B166" s="6" t="inlineStr">
        <is>
          <t>S161</t>
        </is>
      </c>
      <c r="C166" s="6" t="inlineStr">
        <is>
          <t>€130 Million of New Funding to Propel Eavor-Loop™ Power Plant ...</t>
        </is>
      </c>
      <c r="D166" s="6" t="inlineStr">
        <is>
          <t>https://eavor.com/blog/e130-million-of-new-funding-to-propel-eavor-loop-power-plant-at-geretsried/</t>
        </is>
      </c>
      <c r="E166" s="6" t="inlineStr">
        <is>
          <t>2026-09-29</t>
        </is>
      </c>
      <c r="F166" s="6" t="inlineStr">
        <is>
          <t>869 days ago</t>
        </is>
      </c>
      <c r="G166" s="6" t="inlineStr">
        <is>
          <t>searched, not cited in a cell</t>
        </is>
      </c>
    </row>
    <row r="167">
      <c r="B167" s="7" t="inlineStr">
        <is>
          <t>S162</t>
        </is>
      </c>
      <c r="C167" s="7" t="inlineStr">
        <is>
          <t>Eavor Geothermal 2026, €45M European Investment Bank Loan - EnkiAI</t>
        </is>
      </c>
      <c r="D167" s="7" t="inlineStr">
        <is>
          <t>https://enkiai.com/geothermal/eavor-closed-loop-europe-investment/</t>
        </is>
      </c>
      <c r="E167" s="7" t="inlineStr">
        <is>
          <t>2026-09-29</t>
        </is>
      </c>
      <c r="F167" s="7" t="inlineStr">
        <is>
          <t>110 days ago</t>
        </is>
      </c>
      <c r="G167" s="7" t="inlineStr">
        <is>
          <t>searched, not cited in a cell</t>
        </is>
      </c>
    </row>
    <row r="168">
      <c r="B168" s="6" t="inlineStr">
        <is>
          <t>S163</t>
        </is>
      </c>
      <c r="C168" s="6" t="inlineStr">
        <is>
          <t>$182 Million in Financing Confirms Eavor as a Leader in Scalable ...</t>
        </is>
      </c>
      <c r="D168" s="6" t="inlineStr">
        <is>
          <t>https://www.renewableenergymagazine.com/geothermal/182-million-in-financing-confirms-eavor-20231101</t>
        </is>
      </c>
      <c r="E168" s="6" t="inlineStr">
        <is>
          <t>2026-09-29</t>
        </is>
      </c>
      <c r="F168" s="6" t="inlineStr">
        <is>
          <t>1062 days ago</t>
        </is>
      </c>
      <c r="G168" s="6" t="inlineStr">
        <is>
          <t>searched, not cited in a cell</t>
        </is>
      </c>
    </row>
    <row r="169">
      <c r="B169" s="7" t="inlineStr">
        <is>
          <t>S164</t>
        </is>
      </c>
      <c r="C169" s="7" t="inlineStr">
        <is>
          <t>Canada Growth Fund announces additional investment in Eavor ...</t>
        </is>
      </c>
      <c r="D169" s="7" t="inlineStr">
        <is>
          <t>https://eavor.com/press-releases/canada-growth-fund-announces-additional-investment-in-eavor-technologies-a-calgary-based-advanced-geothermal-technology-company/</t>
        </is>
      </c>
      <c r="E169" s="7" t="inlineStr">
        <is>
          <t>2026-09-29</t>
        </is>
      </c>
      <c r="F169" s="7" t="inlineStr">
        <is>
          <t>462 days ago</t>
        </is>
      </c>
      <c r="G169" s="7" t="inlineStr">
        <is>
          <t>'Landscape'!B14:J14; 'Landscape'!B15</t>
        </is>
      </c>
    </row>
    <row r="170">
      <c r="B170" s="6" t="inlineStr">
        <is>
          <t>S165</t>
        </is>
      </c>
      <c r="C170" s="6" t="inlineStr">
        <is>
          <t>Calgary.tech platforms Eavor’s recent achievements and financial ...</t>
        </is>
      </c>
      <c r="D170" s="6" t="inlineStr">
        <is>
          <t>https://www.eavor.com/blog/calgary-tech-platforms-eavors-recent-achievements-and-financial-support-at-geretsried/</t>
        </is>
      </c>
      <c r="E170" s="6" t="inlineStr">
        <is>
          <t>2026-09-29</t>
        </is>
      </c>
      <c r="F170" s="6" t="inlineStr">
        <is>
          <t>1084 days ago</t>
        </is>
      </c>
      <c r="G170" s="6" t="inlineStr">
        <is>
          <t>searched, not cited in a cell</t>
        </is>
      </c>
    </row>
    <row r="171">
      <c r="B171" s="7" t="inlineStr">
        <is>
          <t>S166</t>
        </is>
      </c>
      <c r="C171" s="7" t="inlineStr">
        <is>
          <t>Canada Growth Fund commits at least $89 million to Eavor in second ...</t>
        </is>
      </c>
      <c r="D171" s="7" t="inlineStr">
        <is>
          <t>https://betakit.com/canada-growth-fund-commits-at-least-89-million-to-eavor-in-second-big-investment-to-geothermal-tech-company/</t>
        </is>
      </c>
      <c r="E171" s="7" t="inlineStr">
        <is>
          <t>2026-09-29</t>
        </is>
      </c>
      <c r="F171" s="7" t="inlineStr">
        <is>
          <t>482 days ago</t>
        </is>
      </c>
      <c r="G171" s="7" t="inlineStr">
        <is>
          <t>searched, not cited in a cell</t>
        </is>
      </c>
    </row>
    <row r="172">
      <c r="B172" s="6" t="inlineStr">
        <is>
          <t>S167</t>
        </is>
      </c>
      <c r="C172" s="6" t="inlineStr">
        <is>
          <t>GeoMap™ Beta</t>
        </is>
      </c>
      <c r="D172" s="6" t="inlineStr">
        <is>
          <t>https://geomap.projectinnerspace.org/</t>
        </is>
      </c>
      <c r="E172" s="6" t="inlineStr">
        <is>
          <t>2026-09-29</t>
        </is>
      </c>
      <c r="F172" s="6" t="inlineStr"/>
      <c r="G172" s="6" t="inlineStr">
        <is>
          <t>searched, not cited in a cell</t>
        </is>
      </c>
    </row>
    <row r="173">
      <c r="B173" s="7" t="inlineStr">
        <is>
          <t>S168</t>
        </is>
      </c>
      <c r="C173" s="7" t="inlineStr">
        <is>
          <t>Project InnerSpace highlights geothermal potential in Asia with GeoMap</t>
        </is>
      </c>
      <c r="D173" s="7" t="inlineStr">
        <is>
          <t>https://www.thinkgeoenergy.com/project-innerspace-highlights-geothermal-potential-in-asia-with-geomap/</t>
        </is>
      </c>
      <c r="E173" s="7" t="inlineStr">
        <is>
          <t>2026-09-29</t>
        </is>
      </c>
      <c r="F173" s="7" t="inlineStr">
        <is>
          <t>621 days ago</t>
        </is>
      </c>
      <c r="G173" s="7" t="inlineStr">
        <is>
          <t>searched, not cited in a cell</t>
        </is>
      </c>
    </row>
    <row r="174">
      <c r="B174" s="6" t="inlineStr">
        <is>
          <t>S169</t>
        </is>
      </c>
      <c r="C174" s="6" t="inlineStr">
        <is>
          <t>Project Innerspace launches GeoMap geothermal prospecting tool ...</t>
        </is>
      </c>
      <c r="D174" s="6" t="inlineStr">
        <is>
          <t>https://www.thinkgeoenergy.com/project-innerspace-launches-geomap-geothermal-prospecting-tool-for-north-america/</t>
        </is>
      </c>
      <c r="E174" s="6" t="inlineStr">
        <is>
          <t>2026-09-29</t>
        </is>
      </c>
      <c r="F174" s="6" t="inlineStr">
        <is>
          <t>847 days ago</t>
        </is>
      </c>
      <c r="G174" s="6" t="inlineStr">
        <is>
          <t>'Landscape'!B8:J8; 'Landscape'!B15</t>
        </is>
      </c>
    </row>
    <row r="175">
      <c r="B175" s="7" t="inlineStr">
        <is>
          <t>S170</t>
        </is>
      </c>
      <c r="C175" s="7" t="inlineStr">
        <is>
          <t>Project InnerSpace Launches GeoMap South America</t>
        </is>
      </c>
      <c r="D175" s="7" t="inlineStr">
        <is>
          <t>https://jpt.spe.org/project-innerspace-launches-geomap-south-america</t>
        </is>
      </c>
      <c r="E175" s="7" t="inlineStr">
        <is>
          <t>2026-09-29</t>
        </is>
      </c>
      <c r="F175" s="7" t="inlineStr">
        <is>
          <t>349 days ago</t>
        </is>
      </c>
      <c r="G175" s="7" t="inlineStr">
        <is>
          <t>searched, not cited in a cell</t>
        </is>
      </c>
    </row>
    <row r="176">
      <c r="B176" s="6" t="inlineStr">
        <is>
          <t>S171</t>
        </is>
      </c>
      <c r="C176" s="6" t="inlineStr">
        <is>
          <t>Project InnerSpace</t>
        </is>
      </c>
      <c r="D176" s="6" t="inlineStr">
        <is>
          <t>https://projectinnerspace.org/news/</t>
        </is>
      </c>
      <c r="E176" s="6" t="inlineStr">
        <is>
          <t>2026-09-29</t>
        </is>
      </c>
      <c r="F176" s="6" t="inlineStr"/>
      <c r="G176" s="6" t="inlineStr">
        <is>
          <t>searched, not cited in a cell</t>
        </is>
      </c>
    </row>
    <row r="177">
      <c r="B177" s="7" t="inlineStr">
        <is>
          <t>S172</t>
        </is>
      </c>
      <c r="C177" s="7" t="inlineStr">
        <is>
          <t>Project InnerSpace completes global geothermal resource map with ...</t>
        </is>
      </c>
      <c r="D177" s="7" t="inlineStr">
        <is>
          <t>https://www.thinkgeoenergy.com/project-innerspace-completes-global-geothermal-resource-map-with-geomap-europe/</t>
        </is>
      </c>
      <c r="E177" s="7" t="inlineStr">
        <is>
          <t>2026-09-29</t>
        </is>
      </c>
      <c r="F177" s="7" t="inlineStr">
        <is>
          <t>310 days ago</t>
        </is>
      </c>
      <c r="G177" s="7" t="inlineStr">
        <is>
          <t>searched, not cited in a cell</t>
        </is>
      </c>
    </row>
    <row r="178">
      <c r="B178" s="6" t="inlineStr">
        <is>
          <t>S173</t>
        </is>
      </c>
      <c r="C178" s="6" t="inlineStr">
        <is>
          <t>Project InnerSpace's GeoMap</t>
        </is>
      </c>
      <c r="D178" s="6" t="inlineStr">
        <is>
          <t>https://geomap.projectinnerspace.org/map-selection/</t>
        </is>
      </c>
      <c r="E178" s="6" t="inlineStr">
        <is>
          <t>2026-09-29</t>
        </is>
      </c>
      <c r="F178" s="6" t="inlineStr"/>
      <c r="G178" s="6" t="inlineStr">
        <is>
          <t>searched, not cited in a cell</t>
        </is>
      </c>
    </row>
    <row r="179">
      <c r="B179" s="7" t="inlineStr">
        <is>
          <t>S174</t>
        </is>
      </c>
      <c r="C179" s="7" t="inlineStr">
        <is>
          <t>Project InnerSpace Launches GeoMap North America</t>
        </is>
      </c>
      <c r="D179" s="7" t="inlineStr">
        <is>
          <t>https://www.geothermalcanada.org/news/2024/6/4/project-innerspace-launches-geomap-north-america</t>
        </is>
      </c>
      <c r="E179" s="7" t="inlineStr">
        <is>
          <t>2026-09-29</t>
        </is>
      </c>
      <c r="F179" s="7" t="inlineStr">
        <is>
          <t>848 days ago</t>
        </is>
      </c>
      <c r="G179" s="7" t="inlineStr">
        <is>
          <t>searched, not cited in a cell</t>
        </is>
      </c>
    </row>
    <row r="180">
      <c r="B180" s="6" t="inlineStr">
        <is>
          <t>S175</t>
        </is>
      </c>
      <c r="C180" s="6" t="inlineStr">
        <is>
          <t>Project InnerSpace Launches GeoMap Europe</t>
        </is>
      </c>
      <c r="D180" s="6" t="inlineStr">
        <is>
          <t>https://jpt.spe.org/project-innerspace-launches-geomap-europe</t>
        </is>
      </c>
      <c r="E180" s="6" t="inlineStr">
        <is>
          <t>2026-09-29</t>
        </is>
      </c>
      <c r="F180" s="6" t="inlineStr">
        <is>
          <t>313 days ago</t>
        </is>
      </c>
      <c r="G180" s="6" t="inlineStr">
        <is>
          <t>searched, not cited in a cell</t>
        </is>
      </c>
    </row>
    <row r="181">
      <c r="B181" s="7" t="inlineStr">
        <is>
          <t>S176</t>
        </is>
      </c>
      <c r="C181" s="7" t="inlineStr">
        <is>
          <t>Project InnerSpace</t>
        </is>
      </c>
      <c r="D181" s="7" t="inlineStr">
        <is>
          <t>https://projectinnerspace.org/</t>
        </is>
      </c>
      <c r="E181" s="7" t="inlineStr">
        <is>
          <t>2026-09-29</t>
        </is>
      </c>
      <c r="F181" s="7" t="inlineStr"/>
      <c r="G181" s="7" t="inlineStr">
        <is>
          <t>searched, not cited in a cell</t>
        </is>
      </c>
    </row>
    <row r="182">
      <c r="B182" s="6" t="inlineStr">
        <is>
          <t>S177</t>
        </is>
      </c>
      <c r="C182" s="6" t="inlineStr">
        <is>
          <t>How AI is uncovering hidden geothermal energy resources</t>
        </is>
      </c>
      <c r="D182" s="6" t="inlineStr">
        <is>
          <t>https://www.technologyreview.com/2025/12/04/1128763/ai-geothermal-zanskar/</t>
        </is>
      </c>
      <c r="E182" s="6" t="inlineStr">
        <is>
          <t>2026-09-29</t>
        </is>
      </c>
      <c r="F182" s="6" t="inlineStr">
        <is>
          <t>299 days ago</t>
        </is>
      </c>
      <c r="G182" s="6" t="inlineStr">
        <is>
          <t>searched, not cited in a cell</t>
        </is>
      </c>
    </row>
    <row r="183">
      <c r="B183" s="7" t="inlineStr">
        <is>
          <t>S178</t>
        </is>
      </c>
      <c r="C183" s="7" t="inlineStr">
        <is>
          <t>A startup discovered a hidden source of abundant, clean energy ...</t>
        </is>
      </c>
      <c r="D183" s="7" t="inlineStr">
        <is>
          <t>https://www.cnn.com/2025/12/12/climate/blind-geothermal-clean-energy-discovery</t>
        </is>
      </c>
      <c r="E183" s="7" t="inlineStr">
        <is>
          <t>2026-09-29</t>
        </is>
      </c>
      <c r="F183" s="7" t="inlineStr">
        <is>
          <t>291 days ago</t>
        </is>
      </c>
      <c r="G183" s="7" t="inlineStr">
        <is>
          <t>searched, not cited in a cell</t>
        </is>
      </c>
    </row>
    <row r="184">
      <c r="B184" s="6" t="inlineStr">
        <is>
          <t>S179</t>
        </is>
      </c>
      <c r="C184" s="6" t="inlineStr">
        <is>
          <t>DTN 142: AI Finds Hidden Geothermal Resources</t>
        </is>
      </c>
      <c r="D184" s="6" t="inlineStr">
        <is>
          <t>https://infinitefrontiers.io/newsletters/dtn-142-ai-finds-hidden-geothermal-resources/</t>
        </is>
      </c>
      <c r="E184" s="6" t="inlineStr">
        <is>
          <t>2026-09-29</t>
        </is>
      </c>
      <c r="F184" s="6" t="inlineStr">
        <is>
          <t>278 days ago</t>
        </is>
      </c>
      <c r="G184" s="6" t="inlineStr">
        <is>
          <t>searched, not cited in a cell</t>
        </is>
      </c>
    </row>
    <row r="185">
      <c r="B185" s="7" t="inlineStr">
        <is>
          <t>S180</t>
        </is>
      </c>
      <c r="C185" s="7" t="inlineStr">
        <is>
          <t>Geothermal developer Zanskar discovers ‘blind’ hotspot using AI</t>
        </is>
      </c>
      <c r="D185" s="7" t="inlineStr">
        <is>
          <t>https://www.techbrew.com/stories/2025/12/04/zanskar-blind-geothermal-well-ai</t>
        </is>
      </c>
      <c r="E185" s="7" t="inlineStr">
        <is>
          <t>2026-09-29</t>
        </is>
      </c>
      <c r="F185" s="7" t="inlineStr">
        <is>
          <t>299 days ago</t>
        </is>
      </c>
      <c r="G185" s="7" t="inlineStr">
        <is>
          <t>searched, not cited in a cell</t>
        </is>
      </c>
    </row>
    <row r="186">
      <c r="B186" s="6" t="inlineStr">
        <is>
          <t>S181</t>
        </is>
      </c>
      <c r="C186" s="6" t="inlineStr">
        <is>
          <t>AI helps US start-up discover hidden geothermal energy reserve</t>
        </is>
      </c>
      <c r="D186" s="6" t="inlineStr">
        <is>
          <t>https://www.newsbytesapp.com/news/science/ai-helps-us-start-up-discover-hidden-geothermal-energy-reserve/story</t>
        </is>
      </c>
      <c r="E186" s="6" t="inlineStr">
        <is>
          <t>2026-09-29</t>
        </is>
      </c>
      <c r="F186" s="6" t="inlineStr">
        <is>
          <t>289 days ago</t>
        </is>
      </c>
      <c r="G186" s="6" t="inlineStr">
        <is>
          <t>searched, not cited in a cell</t>
        </is>
      </c>
    </row>
    <row r="187">
      <c r="B187" s="7" t="inlineStr">
        <is>
          <t>S182</t>
        </is>
      </c>
      <c r="C187" s="7" t="inlineStr">
        <is>
          <t>AI Discovers Hidden Geothermal Reservoir in Nevada Desert</t>
        </is>
      </c>
      <c r="D187" s="7" t="inlineStr">
        <is>
          <t>https://mezha.net/eng/bukvy/ai-discovers-hidden-geothermal-reservoir-in-nevada-desert/amp/</t>
        </is>
      </c>
      <c r="E187" s="7" t="inlineStr">
        <is>
          <t>2026-09-29</t>
        </is>
      </c>
      <c r="F187" s="7" t="inlineStr">
        <is>
          <t>291 days ago</t>
        </is>
      </c>
      <c r="G187" s="7" t="inlineStr">
        <is>
          <t>searched, not cited in a cell</t>
        </is>
      </c>
    </row>
    <row r="188">
      <c r="B188" s="6" t="inlineStr">
        <is>
          <t>S183</t>
        </is>
      </c>
      <c r="C188" s="6" t="inlineStr">
        <is>
          <t>A startup says it has found a hidden source of geothermal energy ...</t>
        </is>
      </c>
      <c r="D188" s="6" t="inlineStr">
        <is>
          <t>https://illuminem.com/illuminemvoices/a-startup-says-it-has-found-a-hidden-source-of-geothermal-energy</t>
        </is>
      </c>
      <c r="E188" s="6" t="inlineStr">
        <is>
          <t>2026-09-29</t>
        </is>
      </c>
      <c r="F188" s="6" t="inlineStr">
        <is>
          <t>298 days ago</t>
        </is>
      </c>
      <c r="G188" s="6" t="inlineStr">
        <is>
          <t>searched, not cited in a cell</t>
        </is>
      </c>
    </row>
    <row r="189">
      <c r="B189" s="7" t="inlineStr">
        <is>
          <t>S184</t>
        </is>
      </c>
      <c r="C189" s="7" t="inlineStr">
        <is>
          <t>Machines being trained to enhance geothermal exploration in Nevada ...</t>
        </is>
      </c>
      <c r="D189" s="7" t="inlineStr">
        <is>
          <t>https://www.unr.edu/nevada-today/news/2019/machine-learning-geothermal-exploration</t>
        </is>
      </c>
      <c r="E189" s="7" t="inlineStr">
        <is>
          <t>2026-09-29</t>
        </is>
      </c>
      <c r="F189" s="7" t="inlineStr">
        <is>
          <t>2680 days ago</t>
        </is>
      </c>
      <c r="G189" s="7" t="inlineStr">
        <is>
          <t>searched, not cited in a cell</t>
        </is>
      </c>
    </row>
    <row r="190">
      <c r="B190" s="6" t="inlineStr">
        <is>
          <t>S185</t>
        </is>
      </c>
      <c r="C190" s="6" t="inlineStr">
        <is>
          <t>Funding of .5m announced for machine learning for geothermal work ...</t>
        </is>
      </c>
      <c r="D190" s="6" t="inlineStr">
        <is>
          <t>https://www.thinkgeoenergy.com/funding-of-5-5m-announced-for-machine-learning-for-geothermal-work/</t>
        </is>
      </c>
      <c r="E190" s="6" t="inlineStr">
        <is>
          <t>2026-09-29</t>
        </is>
      </c>
      <c r="F190" s="6" t="inlineStr">
        <is>
          <t>2703 days ago</t>
        </is>
      </c>
      <c r="G190" s="6" t="inlineStr">
        <is>
          <t>searched, not cited in a cell</t>
        </is>
      </c>
    </row>
    <row r="191">
      <c r="B191" s="7" t="inlineStr">
        <is>
          <t>S186</t>
        </is>
      </c>
      <c r="C191" s="7" t="inlineStr">
        <is>
          <t>Machine Learning</t>
        </is>
      </c>
      <c r="D191" s="7" t="inlineStr">
        <is>
          <t>https://www.energy.gov/eere/geothermal/machine-learning</t>
        </is>
      </c>
      <c r="E191" s="7" t="inlineStr">
        <is>
          <t>2026-09-29</t>
        </is>
      </c>
      <c r="F191" s="7" t="inlineStr">
        <is>
          <t>1492 days ago</t>
        </is>
      </c>
      <c r="G191" s="7" t="inlineStr">
        <is>
          <t>searched, not cited in a cell</t>
        </is>
      </c>
    </row>
    <row r="192">
      <c r="B192" s="6" t="inlineStr">
        <is>
          <t>S187</t>
        </is>
      </c>
      <c r="C192" s="6" t="inlineStr">
        <is>
          <t>Machine Learning - Geothermal</t>
        </is>
      </c>
      <c r="D192" s="6" t="inlineStr">
        <is>
          <t>https://www.energy.gov/hgeo/geothermal/machine-learning</t>
        </is>
      </c>
      <c r="E192" s="6" t="inlineStr">
        <is>
          <t>2026-09-29</t>
        </is>
      </c>
      <c r="F192" s="6" t="inlineStr">
        <is>
          <t>144 days ago</t>
        </is>
      </c>
      <c r="G192" s="6" t="inlineStr">
        <is>
          <t>searched, not cited in a cell</t>
        </is>
      </c>
    </row>
    <row r="193">
      <c r="B193" s="7" t="inlineStr">
        <is>
          <t>S188</t>
        </is>
      </c>
      <c r="C193" s="7" t="inlineStr">
        <is>
          <t>The Geothermal Artificial Intelligence for geothermal exploration ...</t>
        </is>
      </c>
      <c r="D193" s="7" t="inlineStr">
        <is>
          <t>https://www.sciencedirect.com/science/article/abs/pii/S096014812200581X</t>
        </is>
      </c>
      <c r="E193" s="7" t="inlineStr">
        <is>
          <t>2026-09-29</t>
        </is>
      </c>
      <c r="F193" s="7" t="inlineStr">
        <is>
          <t>1616 days ago</t>
        </is>
      </c>
      <c r="G193" s="7" t="inlineStr">
        <is>
          <t>searched, not cited in a cell</t>
        </is>
      </c>
    </row>
    <row r="194">
      <c r="B194" s="6" t="inlineStr">
        <is>
          <t>S189</t>
        </is>
      </c>
      <c r="C194" s="6" t="inlineStr">
        <is>
          <t>Energy Department Announces $3.6 Million in Machine Learning for ...</t>
        </is>
      </c>
      <c r="D194" s="6" t="inlineStr">
        <is>
          <t>https://www.energy.gov/hgeo/geothermal/articles/energy-department-announces-36-million-machine-learning-geothermal-energy</t>
        </is>
      </c>
      <c r="E194" s="6" t="inlineStr">
        <is>
          <t>2026-09-29</t>
        </is>
      </c>
      <c r="F194" s="6" t="inlineStr">
        <is>
          <t>138 days ago</t>
        </is>
      </c>
      <c r="G194" s="6" t="inlineStr">
        <is>
          <t>searched, not cited in a cell</t>
        </is>
      </c>
    </row>
    <row r="195">
      <c r="B195" s="7" t="inlineStr">
        <is>
          <t>S190</t>
        </is>
      </c>
      <c r="C195" s="7" t="inlineStr">
        <is>
          <t>GeoThermalCloud: Machine Learning for Geothermal Resource Exploration ...</t>
        </is>
      </c>
      <c r="D195" s="7" t="inlineStr">
        <is>
          <t>https://www.pnnl.gov/publications/geothermalcloud-machine-learning-geothermal-resource-exploration</t>
        </is>
      </c>
      <c r="E195" s="7" t="inlineStr">
        <is>
          <t>2026-09-29</t>
        </is>
      </c>
      <c r="F195" s="7" t="inlineStr">
        <is>
          <t>1355 days ago</t>
        </is>
      </c>
      <c r="G195" s="7" t="inlineStr">
        <is>
          <t>searched, not cited in a cell</t>
        </is>
      </c>
    </row>
    <row r="196">
      <c r="B196" s="6" t="inlineStr">
        <is>
          <t>S191</t>
        </is>
      </c>
      <c r="C196" s="6" t="inlineStr">
        <is>
          <t>Machine Learning for Natural Resource Assessment: An</t>
        </is>
      </c>
      <c r="D196" s="6" t="inlineStr">
        <is>
          <t>https://www.osti.gov/pages/servlets/purl/1999572</t>
        </is>
      </c>
      <c r="E196" s="6" t="inlineStr">
        <is>
          <t>2026-09-29</t>
        </is>
      </c>
      <c r="F196" s="6" t="inlineStr"/>
      <c r="G196" s="6" t="inlineStr">
        <is>
          <t>searched, not cited in a cell</t>
        </is>
      </c>
    </row>
    <row r="197">
      <c r="B197" s="7" t="inlineStr">
        <is>
          <t>S192</t>
        </is>
      </c>
      <c r="C197" s="7" t="inlineStr">
        <is>
          <t>Geothermal startups are suddenly raising a lot of money</t>
        </is>
      </c>
      <c r="D197" s="7" t="inlineStr">
        <is>
          <t>https://www.latitudemedia.com/news/geothermal-startups-are-suddenly-raising-a-lot-of-money/</t>
        </is>
      </c>
      <c r="E197" s="7" t="inlineStr">
        <is>
          <t>2026-09-29</t>
        </is>
      </c>
      <c r="F197" s="7" t="inlineStr">
        <is>
          <t>552 days ago</t>
        </is>
      </c>
      <c r="G197" s="7" t="inlineStr">
        <is>
          <t>searched, not cited in a cell</t>
        </is>
      </c>
    </row>
    <row r="198">
      <c r="B198" s="6" t="inlineStr">
        <is>
          <t>S193</t>
        </is>
      </c>
      <c r="C198" s="6" t="inlineStr">
        <is>
          <t>Jamie Beard on LinkedIn: InnerSpace Google Partnership</t>
        </is>
      </c>
      <c r="D198" s="6" t="inlineStr">
        <is>
          <t>https://www.linkedin.com/posts/geothermal-jamie-beard_innerspace-google-partnership-activity-7107694244907077632-3xOF/</t>
        </is>
      </c>
      <c r="E198" s="6" t="inlineStr">
        <is>
          <t>2026-09-29</t>
        </is>
      </c>
      <c r="F198" s="6" t="inlineStr">
        <is>
          <t>1112 days ago</t>
        </is>
      </c>
      <c r="G198" s="6" t="inlineStr">
        <is>
          <t>searched, not cited in a cell</t>
        </is>
      </c>
    </row>
    <row r="199">
      <c r="B199" s="7" t="inlineStr">
        <is>
          <t>S194</t>
        </is>
      </c>
      <c r="C199" s="7" t="inlineStr">
        <is>
          <t>Google: Geothermal could follow “similar trajectory” to solar</t>
        </is>
      </c>
      <c r="D199" s="7" t="inlineStr">
        <is>
          <t>https://www.latitudemedia.com/news/google-geothermal-data-centers/</t>
        </is>
      </c>
      <c r="E199" s="7" t="inlineStr">
        <is>
          <t>2026-09-29</t>
        </is>
      </c>
      <c r="F199" s="7" t="inlineStr">
        <is>
          <t>552 days ago</t>
        </is>
      </c>
      <c r="G199" s="7" t="inlineStr">
        <is>
          <t>searched, not cited in a cell</t>
        </is>
      </c>
    </row>
    <row r="200">
      <c r="B200" s="6" t="inlineStr">
        <is>
          <t>S195</t>
        </is>
      </c>
      <c r="C200" s="6" t="inlineStr">
        <is>
          <t>Google's geothermal experiments are engineering templates for the ...</t>
        </is>
      </c>
      <c r="D200" s="6" t="inlineStr">
        <is>
          <t>https://interestingengineering.com/energy/google-geothermal-engineering-energy</t>
        </is>
      </c>
      <c r="E200" s="6" t="inlineStr">
        <is>
          <t>2026-09-29</t>
        </is>
      </c>
      <c r="F200" s="6" t="inlineStr">
        <is>
          <t>433 days ago</t>
        </is>
      </c>
      <c r="G200" s="6" t="inlineStr">
        <is>
          <t>searched, not cited in a cell</t>
        </is>
      </c>
    </row>
    <row r="201">
      <c r="B201" s="7" t="inlineStr">
        <is>
          <t>S196</t>
        </is>
      </c>
      <c r="C201" s="7" t="inlineStr">
        <is>
          <t>Google taps on geothermal heat to power its energy-hungry data centers</t>
        </is>
      </c>
      <c r="D201" s="7" t="inlineStr">
        <is>
          <t>https://interestingengineering.com/innovation/google-taps-on-geothermal-heat</t>
        </is>
      </c>
      <c r="E201" s="7" t="inlineStr">
        <is>
          <t>2026-09-29</t>
        </is>
      </c>
      <c r="F201" s="7" t="inlineStr">
        <is>
          <t>1035 days ago</t>
        </is>
      </c>
      <c r="G201" s="7" t="inlineStr">
        <is>
          <t>searched, not cited in a cell</t>
        </is>
      </c>
    </row>
    <row r="202">
      <c r="B202" s="6" t="inlineStr">
        <is>
          <t>S197</t>
        </is>
      </c>
      <c r="C202" s="6" t="inlineStr">
        <is>
          <t>Case Study: Geothermal Energy 3D Models Powering Google's Data Centers</t>
        </is>
      </c>
      <c r="D202" s="6" t="inlineStr">
        <is>
          <t>https://www.seequent.com/the-geothermal-innovation-powering-googles-data-centres/</t>
        </is>
      </c>
      <c r="E202" s="6" t="inlineStr">
        <is>
          <t>2026-09-29</t>
        </is>
      </c>
      <c r="F202" s="6" t="inlineStr">
        <is>
          <t>363 days ago</t>
        </is>
      </c>
      <c r="G202" s="6" t="inlineStr">
        <is>
          <t>searched, not cited in a cell</t>
        </is>
      </c>
    </row>
    <row r="203">
      <c r="B203" s="7" t="inlineStr">
        <is>
          <t>S198</t>
        </is>
      </c>
      <c r="C203" s="7" t="inlineStr">
        <is>
          <t>Google Cloud partners with SLB, Project Innerspace for geothermal ...</t>
        </is>
      </c>
      <c r="D203" s="7" t="inlineStr">
        <is>
          <t>https://www.thinkgeoenergy.com/google-cloud-partners-with-slb-project-innerspace-for-geothermal-resource-identification/</t>
        </is>
      </c>
      <c r="E203" s="7" t="inlineStr">
        <is>
          <t>2026-09-29</t>
        </is>
      </c>
      <c r="F203" s="7" t="inlineStr">
        <is>
          <t>571 days ago</t>
        </is>
      </c>
      <c r="G203" s="7" t="inlineStr">
        <is>
          <t>searched, not cited in a cell</t>
        </is>
      </c>
    </row>
    <row r="204">
      <c r="B204" s="6" t="inlineStr">
        <is>
          <t>S199</t>
        </is>
      </c>
      <c r="C204" s="6" t="inlineStr">
        <is>
          <t>Google Using AI to Crack Next-Gen Geothermal Energy for Data Centers</t>
        </is>
      </c>
      <c r="D204" s="6" t="inlineStr">
        <is>
          <t>https://www.datacenterknowledge.com/ai-data-centers/google-is-applying-ai-to-crack-next-gen-geothermal-energy-for-data-centers</t>
        </is>
      </c>
      <c r="E204" s="6" t="inlineStr">
        <is>
          <t>2026-09-29</t>
        </is>
      </c>
      <c r="F204" s="6" t="inlineStr">
        <is>
          <t>848 days ago</t>
        </is>
      </c>
      <c r="G204" s="6" t="inlineStr">
        <is>
          <t>searched, not cited in a cell</t>
        </is>
      </c>
    </row>
    <row r="205">
      <c r="B205" s="7" t="inlineStr">
        <is>
          <t>S200</t>
        </is>
      </c>
      <c r="C205" s="7" t="inlineStr">
        <is>
          <t>Google and Fervo launch first-of-its-kind geothermal project</t>
        </is>
      </c>
      <c r="D205" s="7" t="inlineStr">
        <is>
          <t>https://blog.google/company-news/outreach-and-initiatives/sustainability/google-fervo-geothermal-energy-partnership/</t>
        </is>
      </c>
      <c r="E205" s="7" t="inlineStr">
        <is>
          <t>2026-09-29</t>
        </is>
      </c>
      <c r="F205" s="7" t="inlineStr">
        <is>
          <t>194 days ago</t>
        </is>
      </c>
      <c r="G205" s="7" t="inlineStr">
        <is>
          <t>searched, not cited in a cell</t>
        </is>
      </c>
    </row>
    <row r="206">
      <c r="B206" s="6" t="inlineStr">
        <is>
          <t>S201</t>
        </is>
      </c>
      <c r="C206" s="6" t="inlineStr">
        <is>
          <t>Baker Hughes and Mantle Reach Power announce strategic agreement ...</t>
        </is>
      </c>
      <c r="D206" s="6" t="inlineStr">
        <is>
          <t>https://www.energyglobal.com/other-renewables/26062026/baker-hughes-and-mantle-reach-power-announce-strategic-agreement/</t>
        </is>
      </c>
      <c r="E206" s="6" t="inlineStr">
        <is>
          <t>2026-09-29</t>
        </is>
      </c>
      <c r="F206" s="6" t="inlineStr">
        <is>
          <t>95 days ago</t>
        </is>
      </c>
      <c r="G206" s="6" t="inlineStr">
        <is>
          <t>searched, not cited in a cell</t>
        </is>
      </c>
    </row>
    <row r="207">
      <c r="B207" s="7" t="inlineStr">
        <is>
          <t>S202</t>
        </is>
      </c>
      <c r="C207" s="7" t="inlineStr">
        <is>
          <t>Vinson &amp; Elkins Advises EnCap Energy Transition on Baker Hughes ...</t>
        </is>
      </c>
      <c r="D207" s="7" t="inlineStr">
        <is>
          <t>https://www.velaw.com/news/vinson-elkins-advises-encap-energy-transition-on-baker-hughes-mantle-reach-power-geothermal-strategic-agreement/</t>
        </is>
      </c>
      <c r="E207" s="7" t="inlineStr">
        <is>
          <t>2026-09-29</t>
        </is>
      </c>
      <c r="F207" s="7" t="inlineStr">
        <is>
          <t>97 days ago</t>
        </is>
      </c>
      <c r="G207" s="7" t="inlineStr">
        <is>
          <t>searched, not cited in a cell</t>
        </is>
      </c>
    </row>
    <row r="208">
      <c r="B208" s="6" t="inlineStr">
        <is>
          <t>S203</t>
        </is>
      </c>
      <c r="C208" s="6" t="inlineStr">
        <is>
          <t>Baker Hughes and Mantle Reach Power, an EnCap Energy Transition ...</t>
        </is>
      </c>
      <c r="D208" s="6" t="inlineStr">
        <is>
          <t>https://investors.bakerhughes.com/news/press-releases/news-details/2026/Baker-Hughes-and-Mantle-Reach-Power-an-EnCap-Energy-Transition-Company-Announce-Strategic-Agreement-to-Accelerate-Large-scale-Geothermal-Across-North-America/default.aspx</t>
        </is>
      </c>
      <c r="E208" s="6" t="inlineStr">
        <is>
          <t>2026-09-29</t>
        </is>
      </c>
      <c r="F208" s="6" t="inlineStr">
        <is>
          <t>98 days ago</t>
        </is>
      </c>
      <c r="G208" s="6" t="inlineStr">
        <is>
          <t>'Landscape'!B13:J13; 'Landscape'!B15; 'Incumbents'!B9:H9; 'Incumbents'!B12</t>
        </is>
      </c>
    </row>
    <row r="209">
      <c r="B209" s="7" t="inlineStr">
        <is>
          <t>S204</t>
        </is>
      </c>
      <c r="C209" s="7" t="inlineStr">
        <is>
          <t>Baker Hughes and Mantle Reach Power, an EnCap Energy Transition ...</t>
        </is>
      </c>
      <c r="D209" s="7" t="inlineStr">
        <is>
          <t>https://www.manilatimes.net/2026/06/24/tmt-newswire/globenewswire/baker-hughes-and-mantle-reach-power-an-encap-energy-transition-company-announce-strategic-agreement-to-accelerate-large-scale-geothermal-across-north-america/2371802</t>
        </is>
      </c>
      <c r="E209" s="7" t="inlineStr">
        <is>
          <t>2026-09-29</t>
        </is>
      </c>
      <c r="F209" s="7" t="inlineStr">
        <is>
          <t>97 days ago</t>
        </is>
      </c>
      <c r="G209" s="7" t="inlineStr">
        <is>
          <t>searched, not cited in a cell</t>
        </is>
      </c>
    </row>
    <row r="210">
      <c r="B210" s="6" t="inlineStr">
        <is>
          <t>S205</t>
        </is>
      </c>
      <c r="C210" s="6" t="inlineStr">
        <is>
          <t>Baker Hughes and Mantle Reach Power, an EnCap Energy Transition ...</t>
        </is>
      </c>
      <c r="D210" s="6" t="inlineStr">
        <is>
          <t>https://www.theglobeandmail.com/investing/markets/stocks/BKR/pressreleases/2622314/baker-hughes-and-mantle-reach-power-an-encap-energy-transition-company-announce-strategic-agreement-to-accelerate-large-scale-geothermal-across-north-america/</t>
        </is>
      </c>
      <c r="E210" s="6" t="inlineStr">
        <is>
          <t>2026-09-29</t>
        </is>
      </c>
      <c r="F210" s="6" t="inlineStr">
        <is>
          <t>97 days ago</t>
        </is>
      </c>
      <c r="G210" s="6" t="inlineStr">
        <is>
          <t>searched, not cited in a cell</t>
        </is>
      </c>
    </row>
    <row r="211">
      <c r="B211" s="7" t="inlineStr">
        <is>
          <t>S206</t>
        </is>
      </c>
      <c r="C211" s="7" t="inlineStr">
        <is>
          <t>Baker Hughes and Mantle Reach Power, an EnCap Energy Transition ...</t>
        </is>
      </c>
      <c r="D211" s="7" t="inlineStr">
        <is>
          <t>https://finance.yahoo.com/energy/articles/baker-hughes-mantle-reach-power-110000663.html</t>
        </is>
      </c>
      <c r="E211" s="7" t="inlineStr">
        <is>
          <t>2026-09-29</t>
        </is>
      </c>
      <c r="F211" s="7" t="inlineStr">
        <is>
          <t>97 days ago</t>
        </is>
      </c>
      <c r="G211" s="7" t="inlineStr">
        <is>
          <t>searched, not cited in a cell</t>
        </is>
      </c>
    </row>
    <row r="212">
      <c r="B212" s="6" t="inlineStr">
        <is>
          <t>S207</t>
        </is>
      </c>
      <c r="C212" s="6" t="inlineStr">
        <is>
          <t>Baker Hughes and Mantle Reach Power, an EnCap Energy Transition ...</t>
        </is>
      </c>
      <c r="D212" s="6" t="inlineStr">
        <is>
          <t>https://www.nasdaq.com/press-release/baker-hughes-and-mantle-reach-power-encap-energy-transition-company-announce</t>
        </is>
      </c>
      <c r="E212" s="6" t="inlineStr">
        <is>
          <t>2026-09-29</t>
        </is>
      </c>
      <c r="F212" s="6" t="inlineStr">
        <is>
          <t>98 days ago</t>
        </is>
      </c>
      <c r="G212" s="6" t="inlineStr">
        <is>
          <t>searched, not cited in a cell</t>
        </is>
      </c>
    </row>
    <row r="213">
      <c r="B213" s="7" t="inlineStr">
        <is>
          <t>S208</t>
        </is>
      </c>
      <c r="C213" s="7" t="inlineStr">
        <is>
          <t>US: Baker Hughes and Mantle Reach Power, an EnCap Energy Transition ...</t>
        </is>
      </c>
      <c r="D213" s="7" t="inlineStr">
        <is>
          <t>https://www.energy-pedia.com/news/usa/baker-hughes-and-mantle-reach-power--an-encap-energy-transition-company--announce-strategic-agreement-to-accelerate-large-scale-geothermal-across-2043</t>
        </is>
      </c>
      <c r="E213" s="7" t="inlineStr">
        <is>
          <t>2026-09-29</t>
        </is>
      </c>
      <c r="F213" s="7" t="inlineStr"/>
      <c r="G213" s="7" t="inlineStr">
        <is>
          <t>searched, not cited in a cell</t>
        </is>
      </c>
    </row>
    <row r="214">
      <c r="B214" s="6" t="inlineStr">
        <is>
          <t>S209</t>
        </is>
      </c>
      <c r="C214" s="6" t="inlineStr">
        <is>
          <t>Baker Hughes to back large-scale geothermal plans of Mantle Reach ...</t>
        </is>
      </c>
      <c r="D214" s="6" t="inlineStr">
        <is>
          <t>https://www.thinkgeoenergy.com/baker-hughes-to-back-large-scale-geothermal-plans-of-mantle-reach-power/</t>
        </is>
      </c>
      <c r="E214" s="6" t="inlineStr">
        <is>
          <t>2026-09-29</t>
        </is>
      </c>
      <c r="F214" s="6" t="inlineStr">
        <is>
          <t>96 days ago</t>
        </is>
      </c>
      <c r="G214" s="6" t="inlineStr">
        <is>
          <t>searched, not cited in a cell</t>
        </is>
      </c>
    </row>
    <row r="215">
      <c r="B215" s="7" t="inlineStr">
        <is>
          <t>S210</t>
        </is>
      </c>
      <c r="C215" s="7" t="inlineStr">
        <is>
          <t>Baker Hughes and Mantle Reach Power, an EnCap Energy Transition ...</t>
        </is>
      </c>
      <c r="D215" s="7" t="inlineStr">
        <is>
          <t>https://www.globenewswire.com/news-release/2026/06/24/3316707/0/en/baker-hughes-and-mantle-reach-power-an-encap-energy-transition-company-announce-strategic-agreement-to-accelerate-large-scale-geothermal-across-north-america.html</t>
        </is>
      </c>
      <c r="E215" s="7" t="inlineStr">
        <is>
          <t>2026-09-29</t>
        </is>
      </c>
      <c r="F215" s="7" t="inlineStr">
        <is>
          <t>97 days ago</t>
        </is>
      </c>
      <c r="G215" s="7" t="inlineStr">
        <is>
          <t>searched, not cited in a cell</t>
        </is>
      </c>
    </row>
    <row r="216">
      <c r="B216" s="6" t="inlineStr">
        <is>
          <t>S211</t>
        </is>
      </c>
      <c r="C216" s="6" t="inlineStr">
        <is>
          <t>$171.5M DOE Funding Opportunity</t>
        </is>
      </c>
      <c r="D216" s="6" t="inlineStr">
        <is>
          <t>https://www.dwt.com/insights/2026/03/multimillion-dollar-doe-funding-opportunity</t>
        </is>
      </c>
      <c r="E216" s="6" t="inlineStr">
        <is>
          <t>2026-09-29</t>
        </is>
      </c>
      <c r="F216" s="6" t="inlineStr">
        <is>
          <t>211 days ago</t>
        </is>
      </c>
      <c r="G216" s="6" t="inlineStr">
        <is>
          <t>searched, not cited in a cell</t>
        </is>
      </c>
    </row>
    <row r="217">
      <c r="B217" s="7" t="inlineStr">
        <is>
          <t>S212</t>
        </is>
      </c>
      <c r="C217" s="7" t="inlineStr">
        <is>
          <t>DOE: CMEI eXCHANGE: Funding Opportunities</t>
        </is>
      </c>
      <c r="D217" s="7" t="inlineStr">
        <is>
          <t>https://eere-exchange.energy.gov/</t>
        </is>
      </c>
      <c r="E217" s="7" t="inlineStr">
        <is>
          <t>2026-09-29</t>
        </is>
      </c>
      <c r="F217" s="7" t="inlineStr">
        <is>
          <t>964 days ago</t>
        </is>
      </c>
      <c r="G217" s="7" t="inlineStr">
        <is>
          <t>searched, not cited in a cell</t>
        </is>
      </c>
    </row>
    <row r="218">
      <c r="B218" s="6" t="inlineStr">
        <is>
          <t>S213</t>
        </is>
      </c>
      <c r="C218" s="6" t="inlineStr">
        <is>
          <t>Department of Energy Grants 2026: ARPA-E, EERE &amp; Office of Science ...</t>
        </is>
      </c>
      <c r="D218" s="6" t="inlineStr">
        <is>
          <t>https://grantedai.com/grants/doe</t>
        </is>
      </c>
      <c r="E218" s="6" t="inlineStr">
        <is>
          <t>2026-09-29</t>
        </is>
      </c>
      <c r="F218" s="6" t="inlineStr">
        <is>
          <t>181 days ago</t>
        </is>
      </c>
      <c r="G218" s="6" t="inlineStr">
        <is>
          <t>searched, not cited in a cell</t>
        </is>
      </c>
    </row>
    <row r="219">
      <c r="B219" s="7" t="inlineStr">
        <is>
          <t>S214</t>
        </is>
      </c>
      <c r="C219" s="7" t="inlineStr">
        <is>
          <t>$1.1M ARPA-E award to fund project exploring potential of geologic ...</t>
        </is>
      </c>
      <c r="D219" s="7" t="inlineStr">
        <is>
          <t>https://www.psu.edu/news/earth-and-mineral-sciences/story/11m-arpa-e-award-fund-project-exploring-potential-geologic</t>
        </is>
      </c>
      <c r="E219" s="7" t="inlineStr">
        <is>
          <t>2026-09-29</t>
        </is>
      </c>
      <c r="F219" s="7" t="inlineStr">
        <is>
          <t>798 days ago</t>
        </is>
      </c>
      <c r="G219" s="7" t="inlineStr">
        <is>
          <t>searched, not cited in a cell</t>
        </is>
      </c>
    </row>
    <row r="220">
      <c r="B220" s="6" t="inlineStr">
        <is>
          <t>S215</t>
        </is>
      </c>
      <c r="C220" s="6" t="inlineStr">
        <is>
          <t>Eden receives ARPA-E funding for novel geothermal stimulation tech</t>
        </is>
      </c>
      <c r="D220" s="6" t="inlineStr">
        <is>
          <t>https://www.thinkgeoenergy.com/eden-receives-arpa-e-funding-for-novel-geothermal-stimulation-tech/</t>
        </is>
      </c>
      <c r="E220" s="6" t="inlineStr">
        <is>
          <t>2026-09-29</t>
        </is>
      </c>
      <c r="F220" s="6" t="inlineStr">
        <is>
          <t>1587 days ago</t>
        </is>
      </c>
      <c r="G220" s="6" t="inlineStr">
        <is>
          <t>searched, not cited in a cell</t>
        </is>
      </c>
    </row>
    <row r="221">
      <c r="B221" s="7" t="inlineStr">
        <is>
          <t>S216</t>
        </is>
      </c>
      <c r="C221" s="7" t="inlineStr">
        <is>
          <t>Funding Notice: Next-Generation Geothermal Field Tests and Geothermal ...</t>
        </is>
      </c>
      <c r="D221" s="7" t="inlineStr">
        <is>
          <t>https://www.energy.gov/hgeo/geothermal/funding-notice-next-generation-geothermal-field-tests-and-geothermal-resource</t>
        </is>
      </c>
      <c r="E221" s="7" t="inlineStr">
        <is>
          <t>2026-09-29</t>
        </is>
      </c>
      <c r="F221" s="7" t="inlineStr">
        <is>
          <t>33 days ago</t>
        </is>
      </c>
      <c r="G221" s="7" t="inlineStr">
        <is>
          <t>searched, not cited in a cell</t>
        </is>
      </c>
    </row>
    <row r="222">
      <c r="B222" s="6" t="inlineStr">
        <is>
          <t>S217</t>
        </is>
      </c>
      <c r="C222" s="6" t="inlineStr">
        <is>
          <t>DOE Launches $171.5M Initiative to Accelerate Next-Generation ...</t>
        </is>
      </c>
      <c r="D222" s="6" t="inlineStr">
        <is>
          <t>https://everglade.com/doe-launches-fudning-initiative-to-accelerate-next-generation-geothermal-field-testing-and-resource-confirmation/</t>
        </is>
      </c>
      <c r="E222" s="6" t="inlineStr">
        <is>
          <t>2026-09-29</t>
        </is>
      </c>
      <c r="F222" s="6" t="inlineStr">
        <is>
          <t>208 days ago</t>
        </is>
      </c>
      <c r="G222" s="6" t="inlineStr">
        <is>
          <t>searched, not cited in a cell</t>
        </is>
      </c>
    </row>
    <row r="223">
      <c r="B223" s="7" t="inlineStr">
        <is>
          <t>S218</t>
        </is>
      </c>
      <c r="C223" s="7" t="inlineStr">
        <is>
          <t>DOE: ARPA-E eXCHANGE: Funding Opportunities</t>
        </is>
      </c>
      <c r="D223" s="7" t="inlineStr">
        <is>
          <t>https://arpa-e-foa.energy.gov/</t>
        </is>
      </c>
      <c r="E223" s="7" t="inlineStr">
        <is>
          <t>2026-09-29</t>
        </is>
      </c>
      <c r="F223" s="7" t="inlineStr">
        <is>
          <t>257 days ago</t>
        </is>
      </c>
      <c r="G223" s="7" t="inlineStr">
        <is>
          <t>searched, not cited in a cell</t>
        </is>
      </c>
    </row>
    <row r="224">
      <c r="B224" s="6" t="inlineStr">
        <is>
          <t>S219</t>
        </is>
      </c>
      <c r="C224" s="6" t="inlineStr">
        <is>
          <t>IGNIITE 2026 ARPA-E Grant: Up to $500K for Early-Career Energy ...</t>
        </is>
      </c>
      <c r="D224" s="6" t="inlineStr">
        <is>
          <t>https://www.bwcoconsulting.com/fod/arpa-e-ignite</t>
        </is>
      </c>
      <c r="E224" s="6" t="inlineStr">
        <is>
          <t>2026-09-29</t>
        </is>
      </c>
      <c r="F224" s="6" t="inlineStr">
        <is>
          <t>147 days ago</t>
        </is>
      </c>
      <c r="G224" s="6" t="inlineStr">
        <is>
          <t>searched, not cited in a cell</t>
        </is>
      </c>
    </row>
    <row r="225">
      <c r="B225" s="7" t="inlineStr">
        <is>
          <t>S220</t>
        </is>
      </c>
      <c r="C225" s="7" t="inlineStr">
        <is>
          <t>ORMAT TECHNOLOGIES, INC. - Form 8-K - FY2026</t>
        </is>
      </c>
      <c r="D225" s="7" t="inlineStr">
        <is>
          <t>https://www.sec.gov/Archives/edgar/data/0001296445/000143774926025961/ex_999557.htm</t>
        </is>
      </c>
      <c r="E225" s="7" t="inlineStr">
        <is>
          <t>2026-09-29</t>
        </is>
      </c>
      <c r="F225" s="7" t="inlineStr"/>
      <c r="G225" s="7" t="inlineStr">
        <is>
          <t>searched, not cited in a cell</t>
        </is>
      </c>
    </row>
    <row r="226">
      <c r="B226" s="6" t="inlineStr">
        <is>
          <t>S221</t>
        </is>
      </c>
      <c r="C226" s="6" t="inlineStr">
        <is>
          <t>ORMAT TECHNOLOGIES, INC. - Form 8-K - FY2026</t>
        </is>
      </c>
      <c r="D226" s="6" t="inlineStr">
        <is>
          <t>https://www.sec.gov/Archives/edgar/data/0001296445/000143774926015235/ex_958050.htm</t>
        </is>
      </c>
      <c r="E226" s="6" t="inlineStr">
        <is>
          <t>2026-09-29</t>
        </is>
      </c>
      <c r="F226" s="6" t="inlineStr"/>
      <c r="G226" s="6" t="inlineStr">
        <is>
          <t>searched, not cited in a cell</t>
        </is>
      </c>
    </row>
    <row r="227">
      <c r="B227" s="7" t="inlineStr">
        <is>
          <t>S222</t>
        </is>
      </c>
      <c r="C227" s="7" t="inlineStr">
        <is>
          <t>Ormat Technologies Reports Second Quarter 2026 Financial Results ...</t>
        </is>
      </c>
      <c r="D227" s="7" t="inlineStr">
        <is>
          <t>https://www.taiwannews.com.tw/news/6415801</t>
        </is>
      </c>
      <c r="E227" s="7" t="inlineStr">
        <is>
          <t>2026-09-29</t>
        </is>
      </c>
      <c r="F227" s="7" t="inlineStr">
        <is>
          <t>55 days ago</t>
        </is>
      </c>
      <c r="G227" s="7" t="inlineStr">
        <is>
          <t>searched, not cited in a cell</t>
        </is>
      </c>
    </row>
    <row r="228">
      <c r="B228" s="6" t="inlineStr">
        <is>
          <t>S223</t>
        </is>
      </c>
      <c r="C228" s="6" t="inlineStr">
        <is>
          <t>Ormat Technologies Q2 2026 Revenue Rises 11% to $258.8 Million</t>
        </is>
      </c>
      <c r="D228" s="6" t="inlineStr">
        <is>
          <t>https://igrownews.com/ormat-technologies-latest-news/</t>
        </is>
      </c>
      <c r="E228" s="6" t="inlineStr">
        <is>
          <t>2026-09-29</t>
        </is>
      </c>
      <c r="F228" s="6" t="inlineStr">
        <is>
          <t>53 days ago</t>
        </is>
      </c>
      <c r="G228" s="6" t="inlineStr">
        <is>
          <t>'Incumbents'!B7:H7; 'Incumbents'!B12</t>
        </is>
      </c>
    </row>
    <row r="229">
      <c r="B229" s="7" t="inlineStr">
        <is>
          <t>S224</t>
        </is>
      </c>
      <c r="C229" s="7" t="inlineStr">
        <is>
          <t>Ormat (ORA) Q2 2026 Earnings Call Transcript</t>
        </is>
      </c>
      <c r="D229" s="7" t="inlineStr">
        <is>
          <t>https://finance.yahoo.com/markets/stocks/articles/ormat-ora-q2-2026-earnings-222834733.html</t>
        </is>
      </c>
      <c r="E229" s="7" t="inlineStr">
        <is>
          <t>2026-09-29</t>
        </is>
      </c>
      <c r="F229" s="7" t="inlineStr">
        <is>
          <t>48 days ago</t>
        </is>
      </c>
      <c r="G229" s="7" t="inlineStr">
        <is>
          <t>searched, not cited in a cell</t>
        </is>
      </c>
    </row>
    <row r="230">
      <c r="B230" s="6" t="inlineStr">
        <is>
          <t>S225</t>
        </is>
      </c>
      <c r="C230" s="6" t="inlineStr">
        <is>
          <t>Ormat Technologies Inc. - Ormat Technologies Reports Second Quarter ...</t>
        </is>
      </c>
      <c r="D230" s="6" t="inlineStr">
        <is>
          <t>https://investor.ormat.com/news-events/news/news-details/2026/Ormat-Technologies-Reports-Second-Quarter-2026-Financial-Results/default.aspx</t>
        </is>
      </c>
      <c r="E230" s="6" t="inlineStr">
        <is>
          <t>2026-09-29</t>
        </is>
      </c>
      <c r="F230" s="6" t="inlineStr">
        <is>
          <t>56 days ago</t>
        </is>
      </c>
      <c r="G230" s="6" t="inlineStr">
        <is>
          <t>'Incumbents'!B7:H7; 'Incumbents'!B12</t>
        </is>
      </c>
    </row>
    <row r="231">
      <c r="B231" s="7" t="inlineStr">
        <is>
          <t>S226</t>
        </is>
      </c>
      <c r="C231" s="7" t="inlineStr">
        <is>
          <t>Ormat Technologies Reports Second Quarter 2026 Financial Results</t>
        </is>
      </c>
      <c r="D231" s="7" t="inlineStr">
        <is>
          <t>https://finance.yahoo.com/energy/articles/ormat-technologies-reports-second-quarter-200500075.html</t>
        </is>
      </c>
      <c r="E231" s="7" t="inlineStr">
        <is>
          <t>2026-09-29</t>
        </is>
      </c>
      <c r="F231" s="7" t="inlineStr">
        <is>
          <t>55 days ago</t>
        </is>
      </c>
      <c r="G231" s="7" t="inlineStr">
        <is>
          <t>searched, not cited in a cell</t>
        </is>
      </c>
    </row>
    <row r="232">
      <c r="B232" s="6" t="inlineStr">
        <is>
          <t>S227</t>
        </is>
      </c>
      <c r="C232" s="6" t="inlineStr">
        <is>
          <t>Ormat Technologies (ORA) Lifts 2026 Revenue Outlook After Q2 Beat ...</t>
        </is>
      </c>
      <c r="D232" s="6" t="inlineStr">
        <is>
          <t>https://simplywall.st/stocks/us/utilities/nyse-ora/ormat-technologies/news/ormat-technologies-ora-lifts-2026-revenue-outlook-after-q2-b/amp</t>
        </is>
      </c>
      <c r="E232" s="6" t="inlineStr">
        <is>
          <t>2026-09-29</t>
        </is>
      </c>
      <c r="F232" s="6" t="inlineStr">
        <is>
          <t>45 days ago</t>
        </is>
      </c>
      <c r="G232" s="6" t="inlineStr">
        <is>
          <t>searched, not cited in a cell</t>
        </is>
      </c>
    </row>
    <row r="233">
      <c r="B233" s="7" t="inlineStr">
        <is>
          <t>S228</t>
        </is>
      </c>
      <c r="C233" s="7" t="inlineStr">
        <is>
          <t>ex_999557.htm</t>
        </is>
      </c>
      <c r="D233" s="7" t="inlineStr">
        <is>
          <t>https://www.sec.gov/Archives/edgar/data/1296445/000143774926025961/ex_999557.htm</t>
        </is>
      </c>
      <c r="E233" s="7" t="inlineStr">
        <is>
          <t>2026-09-29</t>
        </is>
      </c>
      <c r="F233" s="7" t="inlineStr"/>
      <c r="G233" s="7" t="inlineStr">
        <is>
          <t>searched, not cited in a cell</t>
        </is>
      </c>
    </row>
    <row r="234">
      <c r="B234" s="6" t="inlineStr">
        <is>
          <t>S229</t>
        </is>
      </c>
      <c r="C234" s="6" t="inlineStr">
        <is>
          <t>Ormat Technologies Reports Second Quarter 2026 Financial Results ...</t>
        </is>
      </c>
      <c r="D234" s="6" t="inlineStr">
        <is>
          <t>https://www.nasdaq.com/press-release/ormat-technologies-reports-second-quarter-2026-financial-results-2026-08-05</t>
        </is>
      </c>
      <c r="E234" s="6" t="inlineStr">
        <is>
          <t>2026-09-29</t>
        </is>
      </c>
      <c r="F234" s="6" t="inlineStr">
        <is>
          <t>55 days ago</t>
        </is>
      </c>
      <c r="G234" s="6" t="inlineStr">
        <is>
          <t>searched, not cited in a cell</t>
        </is>
      </c>
    </row>
    <row r="235">
      <c r="B235" s="7" t="inlineStr">
        <is>
          <t>S230</t>
        </is>
      </c>
      <c r="C235" s="7" t="inlineStr">
        <is>
          <t>Fervo Energy Raises $462 Million Series E to Accelerate Geothermal ...</t>
        </is>
      </c>
      <c r="D235" s="7" t="inlineStr">
        <is>
          <t>https://www.renewableenergymagazine.com/geothermal/fervo-energy-raises-462-million-series-e-20251216</t>
        </is>
      </c>
      <c r="E235" s="7" t="inlineStr">
        <is>
          <t>2026-09-29</t>
        </is>
      </c>
      <c r="F235" s="7" t="inlineStr">
        <is>
          <t>275 days ago</t>
        </is>
      </c>
      <c r="G235" s="7" t="inlineStr">
        <is>
          <t>searched, not cited in a cell</t>
        </is>
      </c>
    </row>
    <row r="236">
      <c r="B236" s="6" t="inlineStr">
        <is>
          <t>S231</t>
        </is>
      </c>
      <c r="C236" s="6" t="inlineStr">
        <is>
          <t>Fervo Energy Raises Another $462 Million - Heatmap News</t>
        </is>
      </c>
      <c r="D236" s="6" t="inlineStr">
        <is>
          <t>https://heatmap.news/energy/fervo-series-e</t>
        </is>
      </c>
      <c r="E236" s="6" t="inlineStr">
        <is>
          <t>2026-09-29</t>
        </is>
      </c>
      <c r="F236" s="6" t="inlineStr">
        <is>
          <t>293 days ago</t>
        </is>
      </c>
      <c r="G236" s="6" t="inlineStr">
        <is>
          <t>searched, not cited in a cell</t>
        </is>
      </c>
    </row>
    <row r="237">
      <c r="B237" s="7" t="inlineStr">
        <is>
          <t>S232</t>
        </is>
      </c>
      <c r="C237" s="7" t="inlineStr">
        <is>
          <t>Fervo Energy raises $462 million in Series E round - InnovationMap</t>
        </is>
      </c>
      <c r="D237" s="7" t="inlineStr">
        <is>
          <t>https://houston.innovationmap.com/fervo-energy-valuation-2674391322.html</t>
        </is>
      </c>
      <c r="E237" s="7" t="inlineStr">
        <is>
          <t>2026-09-29</t>
        </is>
      </c>
      <c r="F237" s="7" t="inlineStr">
        <is>
          <t>291 days ago</t>
        </is>
      </c>
      <c r="G237" s="7" t="inlineStr">
        <is>
          <t>searched, not cited in a cell</t>
        </is>
      </c>
    </row>
    <row r="238">
      <c r="B238" s="6" t="inlineStr">
        <is>
          <t>S233</t>
        </is>
      </c>
      <c r="C238" s="6" t="inlineStr">
        <is>
          <t>Google joins USD 462m funding round for Fervo Energy</t>
        </is>
      </c>
      <c r="D238" s="6" t="inlineStr">
        <is>
          <t>https://www.thinkgeoenergy.com/google-joins-usd-462m-funding-round-for-fervo-energy/</t>
        </is>
      </c>
      <c r="E238" s="6" t="inlineStr">
        <is>
          <t>2026-09-29</t>
        </is>
      </c>
      <c r="F238" s="6" t="inlineStr">
        <is>
          <t>292 days ago</t>
        </is>
      </c>
      <c r="G238" s="6" t="inlineStr">
        <is>
          <t>searched, not cited in a cell</t>
        </is>
      </c>
    </row>
    <row r="239">
      <c r="B239" s="7" t="inlineStr">
        <is>
          <t>S234</t>
        </is>
      </c>
      <c r="C239" s="7" t="inlineStr">
        <is>
          <t>Geothermal developer Fervo raises $462m, with backing from Google ...</t>
        </is>
      </c>
      <c r="D239" s="7" t="inlineStr">
        <is>
          <t>https://www.datacenterdynamics.com/en/news/geothermal-developer-fervo-raises-432m-with-backing-from-google/</t>
        </is>
      </c>
      <c r="E239" s="7" t="inlineStr">
        <is>
          <t>2026-09-29</t>
        </is>
      </c>
      <c r="F239" s="7" t="inlineStr">
        <is>
          <t>78 days ago</t>
        </is>
      </c>
      <c r="G239" s="7" t="inlineStr">
        <is>
          <t>searched, not cited in a cell</t>
        </is>
      </c>
    </row>
    <row r="240">
      <c r="B240" s="6" t="inlineStr">
        <is>
          <t>S235</t>
        </is>
      </c>
      <c r="C240" s="6" t="inlineStr">
        <is>
          <t>What's behind Fervo's half-billion-dollar Series E</t>
        </is>
      </c>
      <c r="D240" s="6" t="inlineStr">
        <is>
          <t>https://www.latitudemedia.com/news/whats-behind-fervos-half-billion-dollar-series-e/</t>
        </is>
      </c>
      <c r="E240" s="6" t="inlineStr">
        <is>
          <t>2026-09-29</t>
        </is>
      </c>
      <c r="F240" s="6" t="inlineStr">
        <is>
          <t>293 days ago</t>
        </is>
      </c>
      <c r="G240" s="6" t="inlineStr">
        <is>
          <t>searched, not cited in a cell</t>
        </is>
      </c>
    </row>
    <row r="241">
      <c r="B241" s="7" t="inlineStr">
        <is>
          <t>S236</t>
        </is>
      </c>
      <c r="C241" s="7" t="inlineStr">
        <is>
          <t>Fervo nabs $462M to complete massive next-gen geothermal project</t>
        </is>
      </c>
      <c r="D241" s="7" t="inlineStr">
        <is>
          <t>https://www.canarymedia.com/articles/geothermal/fervo-investment-capital-b-cape-station</t>
        </is>
      </c>
      <c r="E241" s="7" t="inlineStr">
        <is>
          <t>2026-09-29</t>
        </is>
      </c>
      <c r="F241" s="7" t="inlineStr">
        <is>
          <t>293 days ago</t>
        </is>
      </c>
      <c r="G241" s="7" t="inlineStr">
        <is>
          <t>searched, not cited in a cell</t>
        </is>
      </c>
    </row>
    <row r="242">
      <c r="B242" s="6" t="inlineStr">
        <is>
          <t>S237</t>
        </is>
      </c>
      <c r="C242" s="6" t="inlineStr">
        <is>
          <t>Fervo Energy Raises $462 Million Series E to Accelerate Geothermal ...</t>
        </is>
      </c>
      <c r="D242" s="6" t="inlineStr">
        <is>
          <t>https://fervoenergy.com/fervo-energy-raises-462-million-series-e-to-accelerate-geothermal-development-and-meet-surging-energy-demand-with-clean-firm-power/</t>
        </is>
      </c>
      <c r="E242" s="6" t="inlineStr">
        <is>
          <t>2026-09-29</t>
        </is>
      </c>
      <c r="F242" s="6" t="inlineStr">
        <is>
          <t>165 days ago</t>
        </is>
      </c>
      <c r="G242" s="6" t="inlineStr">
        <is>
          <t>searched, not cited in a cell</t>
        </is>
      </c>
    </row>
    <row r="243">
      <c r="B243" s="7" t="inlineStr">
        <is>
          <t>S238</t>
        </is>
      </c>
      <c r="C243" s="7" t="inlineStr">
        <is>
          <t>Fervo Energy Raises $462 Million Series E to Accelerate Geothermal ...</t>
        </is>
      </c>
      <c r="D243" s="7" t="inlineStr">
        <is>
          <t>https://www.businesswire.com/news/home/20251210925924/en/Fervo-Energy-Raises-$462-Million-Series-E-to-Accelerate-Geothermal-Development-and-Meet-Surging-Energy-Demand-with-Clean-Firm-Power</t>
        </is>
      </c>
      <c r="E243" s="7" t="inlineStr">
        <is>
          <t>2026-09-29</t>
        </is>
      </c>
      <c r="F243" s="7" t="inlineStr">
        <is>
          <t>293 days ago</t>
        </is>
      </c>
      <c r="G243" s="7" t="inlineStr">
        <is>
          <t>searched, not cited in a cell</t>
        </is>
      </c>
    </row>
    <row r="244">
      <c r="B244" s="6" t="inlineStr">
        <is>
          <t>S239</t>
        </is>
      </c>
      <c r="C244" s="6" t="inlineStr">
        <is>
          <t>Fervo Energy closes $462M series E - Energy Capital</t>
        </is>
      </c>
      <c r="D244" s="6" t="inlineStr">
        <is>
          <t>https://energycapitalhtx.com/fervo-energy-series-e</t>
        </is>
      </c>
      <c r="E244" s="6" t="inlineStr">
        <is>
          <t>2026-09-29</t>
        </is>
      </c>
      <c r="F244" s="6" t="inlineStr">
        <is>
          <t>292 days ago</t>
        </is>
      </c>
      <c r="G244" s="6" t="inlineStr">
        <is>
          <t>searched, not cited in a cell</t>
        </is>
      </c>
    </row>
    <row r="245">
      <c r="B245" s="7" t="inlineStr">
        <is>
          <t>S240</t>
        </is>
      </c>
      <c r="C245" s="7" t="inlineStr">
        <is>
          <t>Zanskar Closes $40M in Novel Development Capital Financing, ...</t>
        </is>
      </c>
      <c r="D245" s="7" t="inlineStr">
        <is>
          <t>https://finance.yahoo.com/sectors/energy/articles/zanskar-closes-40m-novel-development-113000803.html</t>
        </is>
      </c>
      <c r="E245" s="7" t="inlineStr">
        <is>
          <t>2026-09-29</t>
        </is>
      </c>
      <c r="F245" s="7" t="inlineStr">
        <is>
          <t>166 days ago</t>
        </is>
      </c>
      <c r="G245" s="7" t="inlineStr">
        <is>
          <t>searched, not cited in a cell</t>
        </is>
      </c>
    </row>
    <row r="246">
      <c r="B246" s="6" t="inlineStr">
        <is>
          <t>S241</t>
        </is>
      </c>
      <c r="C246" s="6" t="inlineStr">
        <is>
          <t>Zanskar Closes $40M in Novel Development Capital Financing, ...</t>
        </is>
      </c>
      <c r="D246" s="6" t="inlineStr">
        <is>
          <t>https://www.manilatimes.net/2026/04/16/tmt-newswire/globenewswire/zanskar-closes-40m-in-novel-development-capital-financing-structured-to-scale-to-100m/2321855</t>
        </is>
      </c>
      <c r="E246" s="6" t="inlineStr">
        <is>
          <t>2026-09-29</t>
        </is>
      </c>
      <c r="F246" s="6" t="inlineStr">
        <is>
          <t>166 days ago</t>
        </is>
      </c>
      <c r="G246" s="6" t="inlineStr">
        <is>
          <t>searched, not cited in a cell</t>
        </is>
      </c>
    </row>
    <row r="247">
      <c r="B247" s="7" t="inlineStr">
        <is>
          <t>S242</t>
        </is>
      </c>
      <c r="C247" s="7" t="inlineStr">
        <is>
          <t>Zanskar Closes $40M in Novel Development Capital Financing, ...</t>
        </is>
      </c>
      <c r="D247" s="7" t="inlineStr">
        <is>
          <t>https://zanskargeothermal.substack.com/p/zanskar-closes-40m-in-novel-development</t>
        </is>
      </c>
      <c r="E247" s="7" t="inlineStr">
        <is>
          <t>2026-09-29</t>
        </is>
      </c>
      <c r="F247" s="7" t="inlineStr">
        <is>
          <t>160 days ago</t>
        </is>
      </c>
      <c r="G247" s="7" t="inlineStr">
        <is>
          <t>searched, not cited in a cell</t>
        </is>
      </c>
    </row>
    <row r="248">
      <c r="B248" s="6" t="inlineStr">
        <is>
          <t>S243</t>
        </is>
      </c>
      <c r="C248" s="6" t="inlineStr">
        <is>
          <t>Zanskar closes $40M in novel development capital financing, ...</t>
        </is>
      </c>
      <c r="D248" s="6" t="inlineStr">
        <is>
          <t>https://www.utahbusiness.com/press-releases/2026/04/17/zanskar-closes-40-million-novel-development-capital-financing-structured-scale/</t>
        </is>
      </c>
      <c r="E248" s="6" t="inlineStr">
        <is>
          <t>2026-09-29</t>
        </is>
      </c>
      <c r="F248" s="6" t="inlineStr">
        <is>
          <t>165 days ago</t>
        </is>
      </c>
      <c r="G248" s="6" t="inlineStr">
        <is>
          <t>searched, not cited in a cell</t>
        </is>
      </c>
    </row>
    <row r="249">
      <c r="B249" s="7" t="inlineStr">
        <is>
          <t>S244</t>
        </is>
      </c>
      <c r="C249" s="7" t="inlineStr">
        <is>
          <t>Conor Daly - Renewable Energy Developer @ Zanskar ...</t>
        </is>
      </c>
      <c r="D249" s="7" t="inlineStr">
        <is>
          <t>https://www.linkedin.com/in/conor-a-daly/</t>
        </is>
      </c>
      <c r="E249" s="7" t="inlineStr">
        <is>
          <t>2026-09-29</t>
        </is>
      </c>
      <c r="F249" s="7" t="inlineStr">
        <is>
          <t>299 days ago</t>
        </is>
      </c>
      <c r="G249" s="7" t="inlineStr">
        <is>
          <t>searched, not cited in a cell</t>
        </is>
      </c>
    </row>
    <row r="250">
      <c r="B250" s="6" t="inlineStr">
        <is>
          <t>S245</t>
        </is>
      </c>
      <c r="C250" s="6" t="inlineStr">
        <is>
          <t>Zanskar closes $40m in development capital financing to support ...</t>
        </is>
      </c>
      <c r="D250" s="6" t="inlineStr">
        <is>
          <t>https://www.thinkgeoenergy.com/zanskar-closes-40m-in-development-capital-financing-to-support-greenfield-geothermal-sites/</t>
        </is>
      </c>
      <c r="E250" s="6" t="inlineStr">
        <is>
          <t>2026-09-29</t>
        </is>
      </c>
      <c r="F250" s="6" t="inlineStr">
        <is>
          <t>165 days ago</t>
        </is>
      </c>
      <c r="G250" s="6" t="inlineStr">
        <is>
          <t>searched, not cited in a cell</t>
        </is>
      </c>
    </row>
    <row r="251">
      <c r="B251" s="7" t="inlineStr">
        <is>
          <t>S246</t>
        </is>
      </c>
      <c r="C251" s="7" t="inlineStr">
        <is>
          <t>Wilson Sonsini Advises Zanskar on Close of $40 Million in Novel ...</t>
        </is>
      </c>
      <c r="D251" s="7" t="inlineStr">
        <is>
          <t>https://www.wsgr.com/en/insights/wilson-sonsini-advises-zanskar-on-close-of-dollar40-million-in-novel-development-capital-financing.html</t>
        </is>
      </c>
      <c r="E251" s="7" t="inlineStr">
        <is>
          <t>2026-09-29</t>
        </is>
      </c>
      <c r="F251" s="7" t="inlineStr">
        <is>
          <t>166 days ago</t>
        </is>
      </c>
      <c r="G251" s="7" t="inlineStr">
        <is>
          <t>searched, not cited in a cell</t>
        </is>
      </c>
    </row>
    <row r="252">
      <c r="B252" s="6" t="inlineStr">
        <is>
          <t>S247</t>
        </is>
      </c>
      <c r="C252" s="6" t="inlineStr">
        <is>
          <t>Insights</t>
        </is>
      </c>
      <c r="D252" s="6" t="inlineStr">
        <is>
          <t>https://www.wsgr.com/en/insights/index.html?at=1580</t>
        </is>
      </c>
      <c r="E252" s="6" t="inlineStr">
        <is>
          <t>2026-09-29</t>
        </is>
      </c>
      <c r="F252" s="6" t="inlineStr"/>
      <c r="G252" s="6" t="inlineStr">
        <is>
          <t>searched, not cited in a cell</t>
        </is>
      </c>
    </row>
    <row r="253">
      <c r="B253" s="7" t="inlineStr">
        <is>
          <t>S248</t>
        </is>
      </c>
      <c r="C253" s="7" t="inlineStr">
        <is>
          <t>Zanskar closes $40 million in novel development capital financing, ...</t>
        </is>
      </c>
      <c r="D253" s="7" t="inlineStr">
        <is>
          <t>https://www.justclimate.com/news/news/zanskar-closes-40m-in-novel-development-capital-financing-structured-to-scale-to-100m/</t>
        </is>
      </c>
      <c r="E253" s="7" t="inlineStr">
        <is>
          <t>2026-09-29</t>
        </is>
      </c>
      <c r="F253" s="7" t="inlineStr">
        <is>
          <t>167 days ago</t>
        </is>
      </c>
      <c r="G253" s="7" t="inlineStr">
        <is>
          <t>searched, not cited in a cell</t>
        </is>
      </c>
    </row>
    <row r="254">
      <c r="B254" s="6" t="inlineStr">
        <is>
          <t>S249</t>
        </is>
      </c>
      <c r="C254" s="6" t="inlineStr">
        <is>
          <t>Zanskar Closes $40M in Novel Development Capital Financing, ...</t>
        </is>
      </c>
      <c r="D254" s="6" t="inlineStr">
        <is>
          <t>https://www.globenewswire.com/news-release/2026/04/16/3275225/0/en/zanskar-closes-40m-in-novel-development-capital-financing-structured-to-scale-to-100m.html</t>
        </is>
      </c>
      <c r="E254" s="6" t="inlineStr">
        <is>
          <t>2026-09-29</t>
        </is>
      </c>
      <c r="F254" s="6" t="inlineStr">
        <is>
          <t>166 days ago</t>
        </is>
      </c>
      <c r="G254" s="6" t="inlineStr">
        <is>
          <t>'Trends'!B32:F32; 'Trends'!B33:F33; 'Trends'!B34:F34; 'Trends'!B35:F35; 'Trends'!B36:F36; 'Trends'!B37; 'Landscape'!B7:J7; 'Landscape'!B15</t>
        </is>
      </c>
    </row>
    <row r="255">
      <c r="B255" s="7" t="inlineStr">
        <is>
          <t>S250</t>
        </is>
      </c>
      <c r="C255" s="7" t="inlineStr">
        <is>
          <t>Fervo Energy Co - Form S-1 - FY2026</t>
        </is>
      </c>
      <c r="D255" s="7" t="inlineStr">
        <is>
          <t>https://www.sec.gov/Archives/edgar/data/1853868/000162828026025821/fervoenergy-sx1.htm</t>
        </is>
      </c>
      <c r="E255" s="7" t="inlineStr">
        <is>
          <t>2026-09-29</t>
        </is>
      </c>
      <c r="F255" s="7" t="inlineStr"/>
      <c r="G255" s="7" t="inlineStr">
        <is>
          <t>searched, not cited in a cell</t>
        </is>
      </c>
    </row>
    <row r="256">
      <c r="B256" s="6" t="inlineStr">
        <is>
          <t>S251</t>
        </is>
      </c>
      <c r="C256" s="6" t="inlineStr">
        <is>
          <t>Fervo Energy (FRVO) Earnings Date &amp; Report - Investing.com</t>
        </is>
      </c>
      <c r="D256" s="6" t="inlineStr">
        <is>
          <t>https://www.investing.com/equities/fervo-energy-co-ltd-earnings</t>
        </is>
      </c>
      <c r="E256" s="6" t="inlineStr">
        <is>
          <t>2026-09-29</t>
        </is>
      </c>
      <c r="F256" s="6" t="inlineStr"/>
      <c r="G256" s="6" t="inlineStr">
        <is>
          <t>searched, not cited in a cell</t>
        </is>
      </c>
    </row>
    <row r="257">
      <c r="B257" s="7" t="inlineStr">
        <is>
          <t>S252</t>
        </is>
      </c>
      <c r="C257" s="7" t="inlineStr">
        <is>
          <t>Fervo Energy (FRVO) Investor Relations, Earnings Summary &amp; Outlook</t>
        </is>
      </c>
      <c r="D257" s="7" t="inlineStr">
        <is>
          <t>https://quartr.com/companies/fervo-energy-company_22517</t>
        </is>
      </c>
      <c r="E257" s="7" t="inlineStr">
        <is>
          <t>2026-09-29</t>
        </is>
      </c>
      <c r="F257" s="7" t="inlineStr"/>
      <c r="G257" s="7" t="inlineStr">
        <is>
          <t>searched, not cited in a cell</t>
        </is>
      </c>
    </row>
    <row r="258">
      <c r="B258" s="6" t="inlineStr">
        <is>
          <t>S253</t>
        </is>
      </c>
      <c r="C258" s="6" t="inlineStr">
        <is>
          <t>Fervo Energy Company (FRVO) Q1 FY2026 earnings call transcript</t>
        </is>
      </c>
      <c r="D258" s="6" t="inlineStr">
        <is>
          <t>https://finance.yahoo.com/quote/FRVO/earnings/FRVO-Q1-2026-earnings_call-692522.html</t>
        </is>
      </c>
      <c r="E258" s="6" t="inlineStr">
        <is>
          <t>2026-09-29</t>
        </is>
      </c>
      <c r="F258" s="6" t="inlineStr">
        <is>
          <t>100 days ago</t>
        </is>
      </c>
      <c r="G258" s="6" t="inlineStr">
        <is>
          <t>searched, not cited in a cell</t>
        </is>
      </c>
    </row>
    <row r="259">
      <c r="B259" s="7" t="inlineStr">
        <is>
          <t>S254</t>
        </is>
      </c>
      <c r="C259" s="7" t="inlineStr">
        <is>
          <t>Fervo Energy Reports Q2 2026 Results as Cape Station Nears First ...</t>
        </is>
      </c>
      <c r="D259" s="7" t="inlineStr">
        <is>
          <t>https://igrownews.com/fervo-energy-latest-news/</t>
        </is>
      </c>
      <c r="E259" s="7" t="inlineStr">
        <is>
          <t>2026-09-29</t>
        </is>
      </c>
      <c r="F259" s="7" t="inlineStr">
        <is>
          <t>28 days ago</t>
        </is>
      </c>
      <c r="G259" s="7" t="inlineStr">
        <is>
          <t>searched, not cited in a cell</t>
        </is>
      </c>
    </row>
    <row r="260">
      <c r="B260" s="6" t="inlineStr">
        <is>
          <t>S255</t>
        </is>
      </c>
      <c r="C260" s="6" t="inlineStr">
        <is>
          <t>Earnings call transcript: Fervo Energy rises on Q1 2026 project ...</t>
        </is>
      </c>
      <c r="D260" s="6" t="inlineStr">
        <is>
          <t>https://www.investing.com/news/transcripts/earnings-call-transcript-fervo-energy-rises-on-q1-2026-project-progress-93CH-4753286</t>
        </is>
      </c>
      <c r="E260" s="6" t="inlineStr">
        <is>
          <t>2026-09-29</t>
        </is>
      </c>
      <c r="F260" s="6" t="inlineStr">
        <is>
          <t>99 days ago</t>
        </is>
      </c>
      <c r="G260" s="6" t="inlineStr">
        <is>
          <t>searched, not cited in a cell</t>
        </is>
      </c>
    </row>
    <row r="261">
      <c r="B261" s="7" t="inlineStr">
        <is>
          <t>S256</t>
        </is>
      </c>
      <c r="C261" s="7" t="inlineStr">
        <is>
          <t>Fervo Energy Reports First Quarter 2026 Results - Mon, 06/22/2026 ...</t>
        </is>
      </c>
      <c r="D261" s="7" t="inlineStr">
        <is>
          <t>https://ir.fervoenergy.com/news-releases/news-release-details/fervo-energy-reports-first-quarter-2026-results</t>
        </is>
      </c>
      <c r="E261" s="7" t="inlineStr">
        <is>
          <t>2026-09-29</t>
        </is>
      </c>
      <c r="F261" s="7" t="inlineStr">
        <is>
          <t>100 days ago</t>
        </is>
      </c>
      <c r="G261" s="7" t="inlineStr">
        <is>
          <t>searched, not cited in a cell</t>
        </is>
      </c>
    </row>
    <row r="262">
      <c r="B262" s="6" t="inlineStr">
        <is>
          <t>S257</t>
        </is>
      </c>
      <c r="C262" s="6" t="inlineStr">
        <is>
          <t>Fervo Energy Reports First Quarter 2026 Results</t>
        </is>
      </c>
      <c r="D262" s="6" t="inlineStr">
        <is>
          <t>https://finance.yahoo.com/energy/articles/fervo-energy-reports-first-quarter-110000744.html</t>
        </is>
      </c>
      <c r="E262" s="6" t="inlineStr">
        <is>
          <t>2026-09-29</t>
        </is>
      </c>
      <c r="F262" s="6" t="inlineStr">
        <is>
          <t>99 days ago</t>
        </is>
      </c>
      <c r="G262" s="6" t="inlineStr">
        <is>
          <t>searched, not cited in a cell</t>
        </is>
      </c>
    </row>
    <row r="263">
      <c r="B263" s="7" t="inlineStr">
        <is>
          <t>S258</t>
        </is>
      </c>
      <c r="C263" s="7" t="inlineStr">
        <is>
          <t>Fervo Energy</t>
        </is>
      </c>
      <c r="D263" s="7" t="inlineStr">
        <is>
          <t>https://en.wikipedia.org/wiki/Fervo_Energy</t>
        </is>
      </c>
      <c r="E263" s="7" t="inlineStr">
        <is>
          <t>2026-09-29</t>
        </is>
      </c>
      <c r="F263" s="7" t="inlineStr"/>
      <c r="G263" s="7" t="inlineStr">
        <is>
          <t>searched, not cited in a cell</t>
        </is>
      </c>
    </row>
    <row r="264">
      <c r="B264" s="6" t="inlineStr">
        <is>
          <t>S259</t>
        </is>
      </c>
      <c r="C264" s="6" t="inlineStr">
        <is>
          <t>Fervo Energy (NASDAQ:FRVO) Q1 Results Miss Estimates as Pre-Market ...</t>
        </is>
      </c>
      <c r="D264" s="6" t="inlineStr">
        <is>
          <t>https://www.chartmill.com/news/FRVO/Chartmill-50129-Fervo-Energy-NASDAQFRVO-Q1-Results-Miss-Estimates-as-Pre-Market-Trading-Shows-Mixed-Signals</t>
        </is>
      </c>
      <c r="E264" s="6" t="inlineStr">
        <is>
          <t>2026-09-29</t>
        </is>
      </c>
      <c r="F264" s="6" t="inlineStr">
        <is>
          <t>99 days ago</t>
        </is>
      </c>
      <c r="G264" s="6" t="inlineStr">
        <is>
          <t>searched, not cited in a cell</t>
        </is>
      </c>
    </row>
    <row r="265">
      <c r="B265" s="7" t="inlineStr">
        <is>
          <t>S260</t>
        </is>
      </c>
      <c r="C265" s="7" t="inlineStr">
        <is>
          <t>Distributed Fibre Optic Sensing for geothermal activity monitoring: ...</t>
        </is>
      </c>
      <c r="D265" s="7" t="inlineStr">
        <is>
          <t>https://www.febus-optics.com/en/actualites/distributed-fibre-optic-sensing-for-geothermal-activity-27</t>
        </is>
      </c>
      <c r="E265" s="7" t="inlineStr">
        <is>
          <t>2026-09-29</t>
        </is>
      </c>
      <c r="F265" s="7" t="inlineStr">
        <is>
          <t>3189 days ago</t>
        </is>
      </c>
      <c r="G265" s="7" t="inlineStr">
        <is>
          <t>searched, not cited in a cell</t>
        </is>
      </c>
    </row>
    <row r="266">
      <c r="B266" s="6" t="inlineStr">
        <is>
          <t>S261</t>
        </is>
      </c>
      <c r="C266" s="6" t="inlineStr">
        <is>
          <t>Advanced Geothermal Energy Is Widely Available, Clean, and Maybe ...</t>
        </is>
      </c>
      <c r="D266" s="6" t="inlineStr">
        <is>
          <t>https://itif.org/publications/2026/05/18/advanced-geothermal-energy-widely-available-clean-maybe-cheap-enough/</t>
        </is>
      </c>
      <c r="E266" s="6" t="inlineStr">
        <is>
          <t>2026-09-29</t>
        </is>
      </c>
      <c r="F266" s="6" t="inlineStr">
        <is>
          <t>135 days ago</t>
        </is>
      </c>
      <c r="G266" s="6" t="inlineStr">
        <is>
          <t>searched, not cited in a cell</t>
        </is>
      </c>
    </row>
    <row r="267">
      <c r="B267" s="7" t="inlineStr">
        <is>
          <t>S262</t>
        </is>
      </c>
      <c r="C267" s="7" t="inlineStr">
        <is>
          <t>Fully Distributed Acoustic and Magnetic Field Monitoring via a ...</t>
        </is>
      </c>
      <c r="D267" s="7" t="inlineStr">
        <is>
          <t>https://netl.doe.gov/node/9456</t>
        </is>
      </c>
      <c r="E267" s="7" t="inlineStr">
        <is>
          <t>2026-09-29</t>
        </is>
      </c>
      <c r="F267" s="7" t="inlineStr">
        <is>
          <t>1764 days ago</t>
        </is>
      </c>
      <c r="G267" s="7" t="inlineStr">
        <is>
          <t>searched, not cited in a cell</t>
        </is>
      </c>
    </row>
    <row r="268">
      <c r="B268" s="6" t="inlineStr">
        <is>
          <t>S263</t>
        </is>
      </c>
      <c r="C268" s="6" t="inlineStr">
        <is>
          <t>Using Dark Fiber and Distributed Acoustic Sensing to ...</t>
        </is>
      </c>
      <c r="D268" s="6" t="inlineStr">
        <is>
          <t>https://escholarship.org/content/qt1gg2w5qf/qt1gg2w5qf.pdf</t>
        </is>
      </c>
      <c r="E268" s="6" t="inlineStr">
        <is>
          <t>2026-09-29</t>
        </is>
      </c>
      <c r="F268" s="6" t="inlineStr"/>
      <c r="G268" s="6" t="inlineStr">
        <is>
          <t>searched, not cited in a cell</t>
        </is>
      </c>
    </row>
    <row r="269">
      <c r="B269" s="7" t="inlineStr">
        <is>
          <t>S264</t>
        </is>
      </c>
      <c r="C269" s="7" t="inlineStr">
        <is>
          <t>Distributed Fiber Optic Arrays: Integrated Temperature and Seismic ...</t>
        </is>
      </c>
      <c r="D269" s="7" t="inlineStr">
        <is>
          <t>https://www.netl.doe.gov/node/1027</t>
        </is>
      </c>
      <c r="E269" s="7" t="inlineStr">
        <is>
          <t>2026-09-29</t>
        </is>
      </c>
      <c r="F269" s="7" t="inlineStr"/>
      <c r="G269" s="7" t="inlineStr">
        <is>
          <t>searched, not cited in a cell</t>
        </is>
      </c>
    </row>
    <row r="270">
      <c r="B270" s="6" t="inlineStr">
        <is>
          <t>S265</t>
        </is>
      </c>
      <c r="C270" s="6" t="inlineStr">
        <is>
          <t>Using Dark Fiber and Distributed Acoustic Sensing to Characterize ...</t>
        </is>
      </c>
      <c r="D270" s="6" t="inlineStr">
        <is>
          <t>https://agupubs.onlinelibrary.wiley.com/doi/full/10.1029/2022JB025240</t>
        </is>
      </c>
      <c r="E270" s="6" t="inlineStr">
        <is>
          <t>2026-09-29</t>
        </is>
      </c>
      <c r="F270" s="6" t="inlineStr"/>
      <c r="G270" s="6" t="inlineStr">
        <is>
          <t>searched, not cited in a cell</t>
        </is>
      </c>
    </row>
    <row r="271">
      <c r="B271" s="7" t="inlineStr">
        <is>
          <t>S266</t>
        </is>
      </c>
      <c r="C271" s="7" t="inlineStr">
        <is>
          <t>Viridien: Distributed Acoustic Sensing (DAS)</t>
        </is>
      </c>
      <c r="D271" s="7" t="inlineStr">
        <is>
          <t>https://www.viridiengroup.com/expertise/subsurface-imaging/distributed-acoustic-sensing-das</t>
        </is>
      </c>
      <c r="E271" s="7" t="inlineStr">
        <is>
          <t>2026-09-29</t>
        </is>
      </c>
      <c r="F271" s="7" t="inlineStr"/>
      <c r="G271" s="7" t="inlineStr">
        <is>
          <t>searched, not cited in a cell</t>
        </is>
      </c>
    </row>
    <row r="272">
      <c r="B272" s="6" t="inlineStr">
        <is>
          <t>S267</t>
        </is>
      </c>
      <c r="C272" s="6" t="inlineStr">
        <is>
          <t>Open Access</t>
        </is>
      </c>
      <c r="D272" s="6" t="inlineStr">
        <is>
          <t>https://geothermal-energy-journal.springeropen.com/counter/pdf/10.1186/s40517-023-00272-4.pdf</t>
        </is>
      </c>
      <c r="E272" s="6" t="inlineStr">
        <is>
          <t>2026-09-29</t>
        </is>
      </c>
      <c r="F272" s="6" t="inlineStr"/>
      <c r="G272" s="6" t="inlineStr">
        <is>
          <t>searched, not cited in a cell</t>
        </is>
      </c>
    </row>
    <row r="273">
      <c r="B273" s="7" t="inlineStr">
        <is>
          <t>S268</t>
        </is>
      </c>
      <c r="C273" s="7" t="inlineStr">
        <is>
          <t>Fiber-Optic Sensing: A New Tool To Unlock Energy From U.S. Shale ...</t>
        </is>
      </c>
      <c r="D273" s="7" t="inlineStr">
        <is>
          <t>https://netl.doe.gov/node/14806</t>
        </is>
      </c>
      <c r="E273" s="7" t="inlineStr">
        <is>
          <t>2026-09-29</t>
        </is>
      </c>
      <c r="F273" s="7" t="inlineStr">
        <is>
          <t>510 days ago</t>
        </is>
      </c>
      <c r="G273" s="7" t="inlineStr">
        <is>
          <t>searched, not cited in a cell</t>
        </is>
      </c>
    </row>
    <row r="274">
      <c r="B274" s="6" t="inlineStr">
        <is>
          <t>S269</t>
        </is>
      </c>
      <c r="C274" s="6" t="inlineStr">
        <is>
          <t>Geothermal Rising Conference</t>
        </is>
      </c>
      <c r="D274" s="6" t="inlineStr">
        <is>
          <t>https://www.slb.com/events/grc</t>
        </is>
      </c>
      <c r="E274" s="6" t="inlineStr">
        <is>
          <t>2026-09-29</t>
        </is>
      </c>
      <c r="F274" s="6" t="inlineStr"/>
      <c r="G274" s="6" t="inlineStr">
        <is>
          <t>searched, not cited in a cell</t>
        </is>
      </c>
    </row>
    <row r="275">
      <c r="B275" s="7" t="inlineStr">
        <is>
          <t>S270</t>
        </is>
      </c>
      <c r="C275" s="7" t="inlineStr">
        <is>
          <t>Geothermal Exploration Drilling</t>
        </is>
      </c>
      <c r="D275" s="7" t="inlineStr">
        <is>
          <t>https://www.slb.com/products-and-services/scaling-new-energy-systems/geothermal/geothermal-exploration/geothermal-exploration-drilling</t>
        </is>
      </c>
      <c r="E275" s="7" t="inlineStr">
        <is>
          <t>2026-09-29</t>
        </is>
      </c>
      <c r="F275" s="7" t="inlineStr">
        <is>
          <t>261 days ago</t>
        </is>
      </c>
      <c r="G275" s="7" t="inlineStr">
        <is>
          <t>'Incumbents'!B11:H11; 'Incumbents'!B12; 'Risks'!B7</t>
        </is>
      </c>
    </row>
    <row r="276">
      <c r="B276" s="6" t="inlineStr">
        <is>
          <t>S271</t>
        </is>
      </c>
      <c r="C276" s="6" t="inlineStr">
        <is>
          <t>SLB Fully Qualifies to Provide Geothermal Solutions to the U.S. ...</t>
        </is>
      </c>
      <c r="D276" s="6" t="inlineStr">
        <is>
          <t>https://www.slb.com/newsroom/updates/2025/slb-geothermal-dod</t>
        </is>
      </c>
      <c r="E276" s="6" t="inlineStr">
        <is>
          <t>2026-09-29</t>
        </is>
      </c>
      <c r="F276" s="6" t="inlineStr">
        <is>
          <t>232 days ago</t>
        </is>
      </c>
      <c r="G276" s="6" t="inlineStr">
        <is>
          <t>searched, not cited in a cell</t>
        </is>
      </c>
    </row>
    <row r="277">
      <c r="B277" s="7" t="inlineStr">
        <is>
          <t>S272</t>
        </is>
      </c>
      <c r="C277" s="7" t="inlineStr">
        <is>
          <t>Geothermal Exploration</t>
        </is>
      </c>
      <c r="D277" s="7" t="inlineStr">
        <is>
          <t>https://www.slb.com/products-and-services/scaling-new-energy-systems/geothermal/geothermal-exploration</t>
        </is>
      </c>
      <c r="E277" s="7" t="inlineStr">
        <is>
          <t>2026-09-29</t>
        </is>
      </c>
      <c r="F277" s="7" t="inlineStr">
        <is>
          <t>162 days ago</t>
        </is>
      </c>
      <c r="G277" s="7" t="inlineStr">
        <is>
          <t>searched, not cited in a cell</t>
        </is>
      </c>
    </row>
    <row r="278">
      <c r="B278" s="6" t="inlineStr">
        <is>
          <t>S273</t>
        </is>
      </c>
      <c r="C278" s="6" t="inlineStr">
        <is>
          <t>Unlocking SLB’s 2025 Geothermal Pivot for Data Centers - ENKI</t>
        </is>
      </c>
      <c r="D278" s="6" t="inlineStr">
        <is>
          <t>https://enkiai.com/data-center/unlocking-slbs-2025-geothermal-pivot-for-data-centers/</t>
        </is>
      </c>
      <c r="E278" s="6" t="inlineStr">
        <is>
          <t>2026-09-29</t>
        </is>
      </c>
      <c r="F278" s="6" t="inlineStr">
        <is>
          <t>154 days ago</t>
        </is>
      </c>
      <c r="G278" s="6" t="inlineStr">
        <is>
          <t>searched, not cited in a cell</t>
        </is>
      </c>
    </row>
    <row r="279">
      <c r="B279" s="7" t="inlineStr">
        <is>
          <t>S274</t>
        </is>
      </c>
      <c r="C279" s="7" t="inlineStr">
        <is>
          <t>Meet SLB: The $70 billion oil services giant poised to cash in ...</t>
        </is>
      </c>
      <c r="D279" s="7" t="inlineStr">
        <is>
          <t>https://fortune.com/2026/07/24/slb-oil-services-ai-data-centers-iran-war-strait-of-hormuz/</t>
        </is>
      </c>
      <c r="E279" s="7" t="inlineStr">
        <is>
          <t>2026-09-29</t>
        </is>
      </c>
      <c r="F279" s="7" t="inlineStr">
        <is>
          <t>56 days ago</t>
        </is>
      </c>
      <c r="G279" s="7" t="inlineStr">
        <is>
          <t>searched, not cited in a cell</t>
        </is>
      </c>
    </row>
    <row r="280">
      <c r="B280" s="6" t="inlineStr">
        <is>
          <t>S275</t>
        </is>
      </c>
      <c r="C280" s="6" t="inlineStr">
        <is>
          <t>SCHLUMBERGER LIMITED/NV - Form ARS - FY2022</t>
        </is>
      </c>
      <c r="D280" s="6" t="inlineStr">
        <is>
          <t>https://www.sec.gov/Archives/edgar/data/87347/000119312523045867/d432670dars.pdf</t>
        </is>
      </c>
      <c r="E280" s="6" t="inlineStr">
        <is>
          <t>2026-09-29</t>
        </is>
      </c>
      <c r="F280" s="6" t="inlineStr"/>
      <c r="G280" s="6" t="inlineStr">
        <is>
          <t>searched, not cited in a cell</t>
        </is>
      </c>
    </row>
    <row r="281">
      <c r="B281" s="7" t="inlineStr">
        <is>
          <t>S276</t>
        </is>
      </c>
      <c r="C281" s="7" t="inlineStr">
        <is>
          <t>Quaise</t>
        </is>
      </c>
      <c r="D281" s="7" t="inlineStr">
        <is>
          <t>https://en.wikipedia.org/wiki/Quaise</t>
        </is>
      </c>
      <c r="E281" s="7" t="inlineStr">
        <is>
          <t>2026-09-29</t>
        </is>
      </c>
      <c r="F281" s="7" t="inlineStr"/>
      <c r="G281" s="7" t="inlineStr">
        <is>
          <t>searched, not cited in a cell</t>
        </is>
      </c>
    </row>
    <row r="282">
      <c r="B282" s="6" t="inlineStr">
        <is>
          <t>S277</t>
        </is>
      </c>
      <c r="C282" s="6" t="inlineStr">
        <is>
          <t>Geothermal</t>
        </is>
      </c>
      <c r="D282" s="6" t="inlineStr">
        <is>
          <t>https://www.slb.com/solutions/geothermal</t>
        </is>
      </c>
      <c r="E282" s="6" t="inlineStr">
        <is>
          <t>2026-09-29</t>
        </is>
      </c>
      <c r="F282" s="6" t="inlineStr">
        <is>
          <t>1195 days ago</t>
        </is>
      </c>
      <c r="G282" s="6" t="inlineStr">
        <is>
          <t>searched, not cited in a cell</t>
        </is>
      </c>
    </row>
    <row r="283">
      <c r="B283" s="7" t="inlineStr">
        <is>
          <t>S278</t>
        </is>
      </c>
      <c r="C283" s="7" t="inlineStr">
        <is>
          <t>DOE Awarding up to $46MM for Geothermal Projects</t>
        </is>
      </c>
      <c r="D283" s="7" t="inlineStr">
        <is>
          <t>https://utahforge.com/utah_forge_news/doe-awarding-up-to-46mm-for-geothermal-projects/</t>
        </is>
      </c>
      <c r="E283" s="7" t="inlineStr">
        <is>
          <t>2026-09-29</t>
        </is>
      </c>
      <c r="F283" s="7" t="inlineStr">
        <is>
          <t>420 days ago</t>
        </is>
      </c>
      <c r="G283" s="7" t="inlineStr">
        <is>
          <t>searched, not cited in a cell</t>
        </is>
      </c>
    </row>
    <row r="284">
      <c r="B284" s="6" t="inlineStr">
        <is>
          <t>S279</t>
        </is>
      </c>
      <c r="C284" s="6" t="inlineStr">
        <is>
          <t>DOE awards $99 million to 21 geothermal projects for field tests ...</t>
        </is>
      </c>
      <c r="D284" s="6" t="inlineStr">
        <is>
          <t>https://gcn.com/doe-awards-million-geothermal-projects-field/21959</t>
        </is>
      </c>
      <c r="E284" s="6" t="inlineStr">
        <is>
          <t>2026-09-29</t>
        </is>
      </c>
      <c r="F284" s="6" t="inlineStr">
        <is>
          <t>3 days ago</t>
        </is>
      </c>
      <c r="G284" s="6" t="inlineStr">
        <is>
          <t>searched, not cited in a cell</t>
        </is>
      </c>
    </row>
    <row r="285">
      <c r="B285" s="7" t="inlineStr">
        <is>
          <t>S280</t>
        </is>
      </c>
      <c r="C285" s="7" t="inlineStr">
        <is>
          <t>Utah FORGE Receives $80 million from DOE</t>
        </is>
      </c>
      <c r="D285" s="7" t="inlineStr">
        <is>
          <t>https://science.utah.edu/geology-geophysics/forge-receives-80-million/</t>
        </is>
      </c>
      <c r="E285" s="7" t="inlineStr">
        <is>
          <t>2026-09-29</t>
        </is>
      </c>
      <c r="F285" s="7" t="inlineStr">
        <is>
          <t>727 days ago</t>
        </is>
      </c>
      <c r="G285" s="7" t="inlineStr">
        <is>
          <t>searched, not cited in a cell</t>
        </is>
      </c>
    </row>
    <row r="286">
      <c r="B286" s="6" t="inlineStr">
        <is>
          <t>S281</t>
        </is>
      </c>
      <c r="C286" s="6" t="inlineStr">
        <is>
          <t>DOE Awards $46 Million for Geothermal Initiative Projects with ...</t>
        </is>
      </c>
      <c r="D286" s="6" t="inlineStr">
        <is>
          <t>https://utahforge.com/utah_forge_news/doe-awards-46-million-for-geothermal-initiative-projects-with-potential-to-power-millions-of-u-s-homes/</t>
        </is>
      </c>
      <c r="E286" s="6" t="inlineStr">
        <is>
          <t>2026-09-29</t>
        </is>
      </c>
      <c r="F286" s="6" t="inlineStr"/>
      <c r="G286" s="6" t="inlineStr">
        <is>
          <t>searched, not cited in a cell</t>
        </is>
      </c>
    </row>
    <row r="287">
      <c r="B287" s="7" t="inlineStr">
        <is>
          <t>S282</t>
        </is>
      </c>
      <c r="C287" s="7" t="inlineStr">
        <is>
          <t>Department of Energy awards funding to Utah geothermal projects ...</t>
        </is>
      </c>
      <c r="D287" s="7" t="inlineStr">
        <is>
          <t>https://utahnewsdispatch.com/2026/09/22/department-of-energy-awards-funding-to-utah-geothermal-projects/</t>
        </is>
      </c>
      <c r="E287" s="7" t="inlineStr">
        <is>
          <t>2026-09-29</t>
        </is>
      </c>
      <c r="F287" s="7" t="inlineStr">
        <is>
          <t>7 days ago</t>
        </is>
      </c>
      <c r="G287" s="7" t="inlineStr">
        <is>
          <t>'Landscape'!B7:J7; 'Landscape'!B15</t>
        </is>
      </c>
    </row>
    <row r="288">
      <c r="B288" s="6" t="inlineStr">
        <is>
          <t>S283</t>
        </is>
      </c>
      <c r="C288" s="6" t="inlineStr">
        <is>
          <t>Grant to aid in geothermal research in rural Utah</t>
        </is>
      </c>
      <c r="D288" s="6" t="inlineStr">
        <is>
          <t>https://utahforge.com/utah_forge_news/grant-to-aid-in-geothermal-research-in-rural-utah/</t>
        </is>
      </c>
      <c r="E288" s="6" t="inlineStr">
        <is>
          <t>2026-09-29</t>
        </is>
      </c>
      <c r="F288" s="6" t="inlineStr">
        <is>
          <t>428 days ago</t>
        </is>
      </c>
      <c r="G288" s="6" t="inlineStr">
        <is>
          <t>searched, not cited in a cell</t>
        </is>
      </c>
    </row>
    <row r="289">
      <c r="B289" s="7" t="inlineStr">
        <is>
          <t>S284</t>
        </is>
      </c>
      <c r="C289" s="7" t="inlineStr">
        <is>
          <t>Utah FORGE secures 4-year extension, more funding for enhanced ...</t>
        </is>
      </c>
      <c r="D289" s="7" t="inlineStr">
        <is>
          <t>https://www.thinkgeoenergy.com/utah-forge-secures-4-year-extension-more-funding-for-enhanced-geothermal-research/</t>
        </is>
      </c>
      <c r="E289" s="7" t="inlineStr">
        <is>
          <t>2026-09-29</t>
        </is>
      </c>
      <c r="F289" s="7" t="inlineStr">
        <is>
          <t>726 days ago</t>
        </is>
      </c>
      <c r="G289" s="7" t="inlineStr">
        <is>
          <t>searched, not cited in a cell</t>
        </is>
      </c>
    </row>
    <row r="290">
      <c r="B290" s="6" t="inlineStr">
        <is>
          <t>S285</t>
        </is>
      </c>
      <c r="C290" s="6" t="inlineStr">
        <is>
          <t>Utah FORGE achieves crucial geothermal milestone</t>
        </is>
      </c>
      <c r="D290" s="6" t="inlineStr">
        <is>
          <t>https://attheu.utah.edu/science-technology/supported-with-200-million-from-doe-university-of-utah-research-peo/</t>
        </is>
      </c>
      <c r="E290" s="6" t="inlineStr">
        <is>
          <t>2026-09-29</t>
        </is>
      </c>
      <c r="F290" s="6" t="inlineStr">
        <is>
          <t>853 days ago</t>
        </is>
      </c>
      <c r="G290" s="6" t="inlineStr">
        <is>
          <t>searched, not cited in a cell</t>
        </is>
      </c>
    </row>
    <row r="291">
      <c r="B291" s="7" t="inlineStr">
        <is>
          <t>S286</t>
        </is>
      </c>
      <c r="C291" s="7" t="inlineStr">
        <is>
          <t>Department of Energy awards funding to Utah geothermal projects</t>
        </is>
      </c>
      <c r="D291" s="7" t="inlineStr">
        <is>
          <t>https://www.kpcw.org/state-regional/2026-09-23/department-of-energy-awards-funding-to-utah-geothermal-projects</t>
        </is>
      </c>
      <c r="E291" s="7" t="inlineStr">
        <is>
          <t>2026-09-29</t>
        </is>
      </c>
      <c r="F291" s="7" t="inlineStr">
        <is>
          <t>6 days ago</t>
        </is>
      </c>
      <c r="G291" s="7" t="inlineStr">
        <is>
          <t>searched, not cited in a cell</t>
        </is>
      </c>
    </row>
    <row r="292">
      <c r="B292" s="6" t="inlineStr">
        <is>
          <t>S287</t>
        </is>
      </c>
      <c r="C292" s="6" t="inlineStr">
        <is>
          <t>PROCEEDINGS, 44th Workshop on Geothermal Reservoir Engineering</t>
        </is>
      </c>
      <c r="D292" s="6" t="inlineStr">
        <is>
          <t>https://pangea.stanford.edu/ERE/db/GeoConf/papers/SGW/2019/Purba.pdf</t>
        </is>
      </c>
      <c r="E292" s="6" t="inlineStr">
        <is>
          <t>2026-09-29</t>
        </is>
      </c>
      <c r="F292" s="6" t="inlineStr">
        <is>
          <t>2788 days ago</t>
        </is>
      </c>
      <c r="G292" s="6" t="inlineStr">
        <is>
          <t>searched, not cited in a cell</t>
        </is>
      </c>
    </row>
    <row r="293">
      <c r="B293" s="7" t="inlineStr">
        <is>
          <t>S288</t>
        </is>
      </c>
      <c r="C293" s="7" t="inlineStr">
        <is>
          <t>Reducing drilling cost of geothermal wells by optimizing drilling ...</t>
        </is>
      </c>
      <c r="D293" s="7" t="inlineStr">
        <is>
          <t>https://www.sciencedirect.com/science/article/pii/S2666519025000627</t>
        </is>
      </c>
      <c r="E293" s="7" t="inlineStr">
        <is>
          <t>2026-09-29</t>
        </is>
      </c>
      <c r="F293" s="7" t="inlineStr">
        <is>
          <t>531 days ago</t>
        </is>
      </c>
      <c r="G293" s="7" t="inlineStr">
        <is>
          <t>searched, not cited in a cell</t>
        </is>
      </c>
    </row>
    <row r="294">
      <c r="B294" s="6" t="inlineStr">
        <is>
          <t>S289</t>
        </is>
      </c>
      <c r="C294" s="6" t="inlineStr">
        <is>
          <t>Geothermal/Exploration</t>
        </is>
      </c>
      <c r="D294" s="6" t="inlineStr">
        <is>
          <t>https://openei.org/wiki/Geothermal/Exploration</t>
        </is>
      </c>
      <c r="E294" s="6" t="inlineStr">
        <is>
          <t>2026-09-29</t>
        </is>
      </c>
      <c r="F294" s="6" t="inlineStr">
        <is>
          <t>2966 days ago</t>
        </is>
      </c>
      <c r="G294" s="6" t="inlineStr">
        <is>
          <t>searched, not cited in a cell</t>
        </is>
      </c>
    </row>
    <row r="295">
      <c r="B295" s="7" t="inlineStr">
        <is>
          <t>S290</t>
        </is>
      </c>
      <c r="C295" s="7" t="inlineStr">
        <is>
          <t>Geothermal Appraisal Risk Program - C3 Solutions</t>
        </is>
      </c>
      <c r="D295" s="7" t="inlineStr">
        <is>
          <t>https://c3solutions.org/policy-paper/geothermal-appraisal-risk-program/</t>
        </is>
      </c>
      <c r="E295" s="7" t="inlineStr">
        <is>
          <t>2026-09-29</t>
        </is>
      </c>
      <c r="F295" s="7" t="inlineStr">
        <is>
          <t>125 days ago</t>
        </is>
      </c>
      <c r="G295" s="7" t="inlineStr">
        <is>
          <t>searched, not cited in a cell</t>
        </is>
      </c>
    </row>
    <row r="296">
      <c r="B296" s="6" t="inlineStr">
        <is>
          <t>S291</t>
        </is>
      </c>
      <c r="C296" s="6" t="inlineStr">
        <is>
          <t>Geothermal Radar Improves Subsurface Modeling, Drilling Risk</t>
        </is>
      </c>
      <c r="D296" s="6" t="inlineStr">
        <is>
          <t>https://www.hartenergy.com/exclusives/geothermal-radar-improves-subsurface-modeling-drilling-risk-213615</t>
        </is>
      </c>
      <c r="E296" s="6" t="inlineStr">
        <is>
          <t>2026-09-29</t>
        </is>
      </c>
      <c r="F296" s="6" t="inlineStr">
        <is>
          <t>433 days ago</t>
        </is>
      </c>
      <c r="G296" s="6" t="inlineStr">
        <is>
          <t>searched, not cited in a cell</t>
        </is>
      </c>
    </row>
    <row r="297">
      <c r="B297" s="7" t="inlineStr">
        <is>
          <t>S292</t>
        </is>
      </c>
      <c r="C297" s="7" t="inlineStr">
        <is>
          <t>Geothermal Drilling Cost Optimization in Indonesia</t>
        </is>
      </c>
      <c r="D297" s="7" t="inlineStr">
        <is>
          <t>https://pangea.stanford.edu/ERE/db/GeoConf/papers/SGW/2020/Purba.pdf</t>
        </is>
      </c>
      <c r="E297" s="7" t="inlineStr">
        <is>
          <t>2026-09-29</t>
        </is>
      </c>
      <c r="F297" s="7" t="inlineStr">
        <is>
          <t>2422 days ago</t>
        </is>
      </c>
      <c r="G297" s="7" t="inlineStr">
        <is>
          <t>searched, not cited in a cell</t>
        </is>
      </c>
    </row>
    <row r="298">
      <c r="B298" s="6" t="inlineStr">
        <is>
          <t>S293</t>
        </is>
      </c>
      <c r="C298" s="6" t="inlineStr">
        <is>
          <t>NEPA — Department of the Interior</t>
        </is>
      </c>
      <c r="D298" s="6" t="inlineStr">
        <is>
          <t>https://eelp.law.harvard.edu/tracker/nepa-department-of-the-interior/</t>
        </is>
      </c>
      <c r="E298" s="6" t="inlineStr">
        <is>
          <t>2026-09-29</t>
        </is>
      </c>
      <c r="F298" s="6" t="inlineStr">
        <is>
          <t>177 days ago</t>
        </is>
      </c>
      <c r="G298" s="6" t="inlineStr">
        <is>
          <t>searched, not cited in a cell</t>
        </is>
      </c>
    </row>
    <row r="299">
      <c r="B299" s="7" t="inlineStr">
        <is>
          <t>S294</t>
        </is>
      </c>
      <c r="C299" s="7" t="inlineStr">
        <is>
          <t>BLM adopts categorical exclusions to expedite geothermal energy ...</t>
        </is>
      </c>
      <c r="D299" s="7" t="inlineStr">
        <is>
          <t>https://www.blm.gov/press-release/blm-adopts-categorical-exclusions-expedite-geothermal-energy-permitting</t>
        </is>
      </c>
      <c r="E299" s="7" t="inlineStr">
        <is>
          <t>2026-09-29</t>
        </is>
      </c>
      <c r="F299" s="7" t="inlineStr">
        <is>
          <t>898 days ago</t>
        </is>
      </c>
      <c r="G299" s="7" t="inlineStr">
        <is>
          <t>searched, not cited in a cell</t>
        </is>
      </c>
    </row>
    <row r="300">
      <c r="B300" s="6" t="inlineStr">
        <is>
          <t>S295</t>
        </is>
      </c>
      <c r="C300" s="6" t="inlineStr">
        <is>
          <t>New categorical exclusion to facilitate permitting of geothermal ...</t>
        </is>
      </c>
      <c r="D300" s="6" t="inlineStr">
        <is>
          <t>https://www.thinkgeoenergy.com/new-categorical-exclusion-to-facilitate-permitting-of-geothermal-projects-in-the-us/</t>
        </is>
      </c>
      <c r="E300" s="6" t="inlineStr">
        <is>
          <t>2026-09-29</t>
        </is>
      </c>
      <c r="F300" s="6" t="inlineStr">
        <is>
          <t>620 days ago</t>
        </is>
      </c>
      <c r="G300" s="6" t="inlineStr">
        <is>
          <t>searched, not cited in a cell</t>
        </is>
      </c>
    </row>
    <row r="301">
      <c r="B301" s="7" t="inlineStr">
        <is>
          <t>S296</t>
        </is>
      </c>
      <c r="C301" s="7" t="inlineStr">
        <is>
          <t>Thoughtful permitting reform can help expand next-generation ...</t>
        </is>
      </c>
      <c r="D301" s="7" t="inlineStr">
        <is>
          <t>https://www.catf.us/2025/12/thoughtful-permitting-reform-can-help-expand-next-generation-geothermal/</t>
        </is>
      </c>
      <c r="E301" s="7" t="inlineStr">
        <is>
          <t>2026-09-29</t>
        </is>
      </c>
      <c r="F301" s="7" t="inlineStr">
        <is>
          <t>287 days ago</t>
        </is>
      </c>
      <c r="G301" s="7" t="inlineStr">
        <is>
          <t>searched, not cited in a cell</t>
        </is>
      </c>
    </row>
    <row r="302">
      <c r="B302" s="6" t="inlineStr">
        <is>
          <t>S297</t>
        </is>
      </c>
      <c r="C302" s="6" t="inlineStr">
        <is>
          <t>Federal Register :: National Environmental Policy Act Implementing ...</t>
        </is>
      </c>
      <c r="D302" s="6" t="inlineStr">
        <is>
          <t>https://www.federalregister.gov/documents/2025/01/17/2025-01084/national-environmental-policy-act-implementing-procedures-for-the-bureau-of-land-management-516-dm</t>
        </is>
      </c>
      <c r="E302" s="6" t="inlineStr">
        <is>
          <t>2026-09-29</t>
        </is>
      </c>
      <c r="F302" s="6" t="inlineStr">
        <is>
          <t>621 days ago</t>
        </is>
      </c>
      <c r="G302" s="6" t="inlineStr">
        <is>
          <t>searched, not cited in a cell</t>
        </is>
      </c>
    </row>
    <row r="303">
      <c r="B303" s="7" t="inlineStr">
        <is>
          <t>S298</t>
        </is>
      </c>
      <c r="C303" s="7" t="inlineStr">
        <is>
          <t>BLM streamlines permitting for small-scale geothermal exploration</t>
        </is>
      </c>
      <c r="D303" s="7" t="inlineStr">
        <is>
          <t>https://www.thinkgeoenergy.com/blm-streamlines-permitting-for-small-scale-geothermal-exploration/</t>
        </is>
      </c>
      <c r="E303" s="7" t="inlineStr">
        <is>
          <t>2026-09-29</t>
        </is>
      </c>
      <c r="F303" s="7" t="inlineStr">
        <is>
          <t>153 days ago</t>
        </is>
      </c>
      <c r="G303" s="7" t="inlineStr">
        <is>
          <t>searched, not cited in a cell</t>
        </is>
      </c>
    </row>
    <row r="304">
      <c r="B304" s="6" t="inlineStr">
        <is>
          <t>S299</t>
        </is>
      </c>
      <c r="C304" s="6" t="inlineStr">
        <is>
          <t>Bureau of Land Management Adopts Measures to Speed Up Geothermal ...</t>
        </is>
      </c>
      <c r="D304" s="6" t="inlineStr">
        <is>
          <t>https://www.thedriller.com/articles/92957-bureau-of-land-management-adopts-measures-to-speed-up-geothermal-energy-permitting</t>
        </is>
      </c>
      <c r="E304" s="6" t="inlineStr">
        <is>
          <t>2026-09-29</t>
        </is>
      </c>
      <c r="F304" s="6" t="inlineStr">
        <is>
          <t>894 days ago</t>
        </is>
      </c>
      <c r="G304" s="6" t="inlineStr">
        <is>
          <t>searched, not cited in a cell</t>
        </is>
      </c>
    </row>
    <row r="305">
      <c r="B305" s="7" t="inlineStr">
        <is>
          <t>S300</t>
        </is>
      </c>
      <c r="C305" s="7" t="inlineStr">
        <is>
          <t>Federal Register :: Adoption of Categorical Exclusions Under Section ...</t>
        </is>
      </c>
      <c r="D305" s="7" t="inlineStr">
        <is>
          <t>https://www.federalregister.gov/documents/2024/04/19/2024-08382/adoption-of-categorical-exclusions-under-section-109-of-the-national-environmental-policy-act</t>
        </is>
      </c>
      <c r="E305" s="7" t="inlineStr">
        <is>
          <t>2026-09-29</t>
        </is>
      </c>
      <c r="F305" s="7" t="inlineStr">
        <is>
          <t>894 days ago</t>
        </is>
      </c>
      <c r="G305" s="7" t="inlineStr">
        <is>
          <t>searched, not cited in a cell</t>
        </is>
      </c>
    </row>
    <row r="306">
      <c r="B306" s="6" t="inlineStr">
        <is>
          <t>S301</t>
        </is>
      </c>
      <c r="C306" s="6" t="inlineStr">
        <is>
          <t>BLM to speed up geothermal exploration permitting with categorical ...</t>
        </is>
      </c>
      <c r="D306" s="6" t="inlineStr">
        <is>
          <t>https://www.thinkgeoenergy.com/blm-to-speed-up-geothermal-exploration-permitting-with-categorical-exclusions/</t>
        </is>
      </c>
      <c r="E306" s="6" t="inlineStr">
        <is>
          <t>2026-09-29</t>
        </is>
      </c>
      <c r="F306" s="6" t="inlineStr">
        <is>
          <t>896 days ago</t>
        </is>
      </c>
      <c r="G306" s="6" t="inlineStr">
        <is>
          <t>searched, not cited in a cell</t>
        </is>
      </c>
    </row>
    <row r="307">
      <c r="B307" s="7" t="inlineStr">
        <is>
          <t>S302</t>
        </is>
      </c>
      <c r="C307" s="7" t="inlineStr">
        <is>
          <t>Pending Legislation</t>
        </is>
      </c>
      <c r="D307" s="7" t="inlineStr">
        <is>
          <t>https://www.doi.gov/ocl/pending-legislation-70</t>
        </is>
      </c>
      <c r="E307" s="7" t="inlineStr">
        <is>
          <t>2026-09-29</t>
        </is>
      </c>
      <c r="F307" s="7" t="inlineStr">
        <is>
          <t>938 days ago</t>
        </is>
      </c>
      <c r="G307" s="7" t="inlineStr">
        <is>
          <t>searched, not cited in a cell</t>
        </is>
      </c>
    </row>
    <row r="308">
      <c r="B308" s="6" t="inlineStr">
        <is>
          <t>S303</t>
        </is>
      </c>
      <c r="C308" s="6" t="inlineStr">
        <is>
          <t>Energy Policy</t>
        </is>
      </c>
      <c r="D308" s="6" t="inlineStr">
        <is>
          <t>https://geothermal.org/taxonomy/term/62</t>
        </is>
      </c>
      <c r="E308" s="6" t="inlineStr">
        <is>
          <t>2026-09-29</t>
        </is>
      </c>
      <c r="F308" s="6" t="inlineStr"/>
      <c r="G308" s="6" t="inlineStr">
        <is>
          <t>searched, not cited in a cell</t>
        </is>
      </c>
    </row>
    <row r="309">
      <c r="B309" s="7" t="inlineStr">
        <is>
          <t>S304</t>
        </is>
      </c>
      <c r="C309" s="7" t="inlineStr">
        <is>
          <t>Geothermal survives in 'big, beautiful' budget bill —…</t>
        </is>
      </c>
      <c r="D309" s="7" t="inlineStr">
        <is>
          <t>https://www.canarymedia.com/articles/geothermal/enhanced-trump-bill-tax-credits</t>
        </is>
      </c>
      <c r="E309" s="7" t="inlineStr">
        <is>
          <t>2026-09-29</t>
        </is>
      </c>
      <c r="F309" s="7" t="inlineStr">
        <is>
          <t>447 days ago</t>
        </is>
      </c>
      <c r="G309" s="7" t="inlineStr">
        <is>
          <t>searched, not cited in a cell</t>
        </is>
      </c>
    </row>
    <row r="310">
      <c r="B310" s="6" t="inlineStr">
        <is>
          <t>S305</t>
        </is>
      </c>
      <c r="C310" s="6" t="inlineStr">
        <is>
          <t>Impact of “One Big Beautiful Bill” on Clean Energy Tax Credits: ...</t>
        </is>
      </c>
      <c r="D310" s="6" t="inlineStr">
        <is>
          <t>https://www.chapman.com/publication-impact-of-one-big-beautiful-bill-on-clean-energy-tax-credits</t>
        </is>
      </c>
      <c r="E310" s="6" t="inlineStr">
        <is>
          <t>2026-09-29</t>
        </is>
      </c>
      <c r="F310" s="6" t="inlineStr">
        <is>
          <t>440 days ago</t>
        </is>
      </c>
      <c r="G310" s="6" t="inlineStr">
        <is>
          <t>searched, not cited in a cell</t>
        </is>
      </c>
    </row>
    <row r="311">
      <c r="B311" s="7" t="inlineStr">
        <is>
          <t>S306</t>
        </is>
      </c>
      <c r="C311" s="7" t="inlineStr">
        <is>
          <t>“One Big Beautiful Bill Act” Brings Big Changes to Green Energy ...</t>
        </is>
      </c>
      <c r="D311" s="7" t="inlineStr">
        <is>
          <t>https://www.kirkland.com/publications/kirkland-alert/2025/08/one-big-beautiful-bill-act-brings-big-changes-to-green-energy-tax-credits</t>
        </is>
      </c>
      <c r="E311" s="7" t="inlineStr">
        <is>
          <t>2026-09-29</t>
        </is>
      </c>
      <c r="F311" s="7" t="inlineStr">
        <is>
          <t>420 days ago</t>
        </is>
      </c>
      <c r="G311" s="7" t="inlineStr">
        <is>
          <t>searched, not cited in a cell</t>
        </is>
      </c>
    </row>
    <row r="312">
      <c r="B312" s="6" t="inlineStr">
        <is>
          <t>S307</t>
        </is>
      </c>
      <c r="C312" s="6" t="inlineStr">
        <is>
          <t>The One, Big, Beautiful Bill Amends Renewable Energy Tax Credits ...</t>
        </is>
      </c>
      <c r="D312" s="6" t="inlineStr">
        <is>
          <t>https://www.williamsmullen.com/insights/news/legal-news/one-big-beautiful-bill-amends-renewable-energy-tax-credits-summary-key</t>
        </is>
      </c>
      <c r="E312" s="6" t="inlineStr">
        <is>
          <t>2026-09-29</t>
        </is>
      </c>
      <c r="F312" s="6" t="inlineStr">
        <is>
          <t>5 days ago</t>
        </is>
      </c>
      <c r="G312" s="6" t="inlineStr">
        <is>
          <t>searched, not cited in a cell</t>
        </is>
      </c>
    </row>
    <row r="313">
      <c r="B313" s="7" t="inlineStr">
        <is>
          <t>S308</t>
        </is>
      </c>
      <c r="C313" s="7" t="inlineStr">
        <is>
          <t>One Big Beautiful Bill Act: Notable Terminations of Tax Credits ...</t>
        </is>
      </c>
      <c r="D313" s="7" t="inlineStr">
        <is>
          <t>https://www.cliffordchance.com/content/dam/cliffordchance/briefings/2025/11/one-big-beautiful-bill-act-notable-terminations-of-tax-credits-for-solar-wind-hydrogen-and-clean-vehicles.pdf</t>
        </is>
      </c>
      <c r="E313" s="7" t="inlineStr">
        <is>
          <t>2026-09-29</t>
        </is>
      </c>
      <c r="F313" s="7" t="inlineStr">
        <is>
          <t>318 days ago</t>
        </is>
      </c>
      <c r="G313" s="7" t="inlineStr">
        <is>
          <t>searched, not cited in a cell</t>
        </is>
      </c>
    </row>
    <row r="314">
      <c r="B314" s="6" t="inlineStr">
        <is>
          <t>S309</t>
        </is>
      </c>
      <c r="C314" s="6" t="inlineStr">
        <is>
          <t>Effects Of "One Big Beautiful Bill" On Projects</t>
        </is>
      </c>
      <c r="D314" s="6" t="inlineStr">
        <is>
          <t>https://www.projectfinance.law/publications/effects-of-one-big-beautiful-bill-on-projects</t>
        </is>
      </c>
      <c r="E314" s="6" t="inlineStr">
        <is>
          <t>2026-09-29</t>
        </is>
      </c>
      <c r="F314" s="6" t="inlineStr">
        <is>
          <t>138 days ago</t>
        </is>
      </c>
      <c r="G314" s="6" t="inlineStr">
        <is>
          <t>searched, not cited in a cell</t>
        </is>
      </c>
    </row>
    <row r="315">
      <c r="B315" s="7" t="inlineStr">
        <is>
          <t>S310</t>
        </is>
      </c>
      <c r="C315" s="7" t="inlineStr">
        <is>
          <t>Congress Phases Out Energy Tax Credits</t>
        </is>
      </c>
      <c r="D315" s="7" t="inlineStr">
        <is>
          <t>https://www.pierceatwood.com/alerts/congress-phases-out-energy-tax-credits</t>
        </is>
      </c>
      <c r="E315" s="7" t="inlineStr">
        <is>
          <t>2026-09-29</t>
        </is>
      </c>
      <c r="F315" s="7" t="inlineStr">
        <is>
          <t>450 days ago</t>
        </is>
      </c>
      <c r="G315" s="7" t="inlineStr">
        <is>
          <t>searched, not cited in a cell</t>
        </is>
      </c>
    </row>
    <row r="316">
      <c r="B316" s="6" t="inlineStr">
        <is>
          <t>S311</t>
        </is>
      </c>
      <c r="C316" s="6" t="inlineStr">
        <is>
          <t>What the One Big Beautiful Bill Act Means for Section 48 &amp; 48E ...</t>
        </is>
      </c>
      <c r="D316" s="6" t="inlineStr">
        <is>
          <t>https://www.eidebailly.com/insights/alerts/2025/obbb-energy-credits</t>
        </is>
      </c>
      <c r="E316" s="6" t="inlineStr">
        <is>
          <t>2026-09-29</t>
        </is>
      </c>
      <c r="F316" s="6" t="inlineStr">
        <is>
          <t>400 days ago</t>
        </is>
      </c>
      <c r="G316" s="6" t="inlineStr">
        <is>
          <t>searched, not cited in a cell</t>
        </is>
      </c>
    </row>
    <row r="317">
      <c r="B317" s="7" t="inlineStr">
        <is>
          <t>S312</t>
        </is>
      </c>
      <c r="C317" s="7" t="inlineStr">
        <is>
          <t>How the One Big Beautiful Bill Changes Green Energy Tax Credits</t>
        </is>
      </c>
      <c r="D317" s="7" t="inlineStr">
        <is>
          <t>https://taxfoundation.org/blog/big-beautiful-bill-green-energy-tax-credit-changes/</t>
        </is>
      </c>
      <c r="E317" s="7" t="inlineStr">
        <is>
          <t>2026-09-29</t>
        </is>
      </c>
      <c r="F317" s="7" t="inlineStr">
        <is>
          <t>413 days ago</t>
        </is>
      </c>
      <c r="G317" s="7" t="inlineStr">
        <is>
          <t>searched, not cited in a cell</t>
        </is>
      </c>
    </row>
    <row r="318">
      <c r="B318" s="6" t="inlineStr">
        <is>
          <t>S313</t>
        </is>
      </c>
      <c r="C318" s="6" t="inlineStr">
        <is>
          <t>Zanskar raises $30 million to support AI-led geothermal exploration ...</t>
        </is>
      </c>
      <c r="D318" s="6" t="inlineStr">
        <is>
          <t>https://www.thinkgeoenergy.com/zanskar-raises-30-million-to-support-ai-led-geothermal-exploration-technology/</t>
        </is>
      </c>
      <c r="E318" s="6" t="inlineStr">
        <is>
          <t>2026-09-29</t>
        </is>
      </c>
      <c r="F318" s="6" t="inlineStr">
        <is>
          <t>869 days ago</t>
        </is>
      </c>
      <c r="G318" s="6" t="inlineStr">
        <is>
          <t>searched, not cited in a cell</t>
        </is>
      </c>
    </row>
    <row r="319">
      <c r="B319" s="7" t="inlineStr">
        <is>
          <t>S314</t>
        </is>
      </c>
      <c r="C319" s="7" t="inlineStr">
        <is>
          <t>Armed with $115 million, geothermal startup Zanskar gets ready ...</t>
        </is>
      </c>
      <c r="D319" s="7" t="inlineStr">
        <is>
          <t>https://www.latitudemedia.com/news/armed-with-115-million-geothermal-startup-zanskar-gets-ready-to-build/</t>
        </is>
      </c>
      <c r="E319" s="7" t="inlineStr">
        <is>
          <t>2026-09-29</t>
        </is>
      </c>
      <c r="F319" s="7" t="inlineStr">
        <is>
          <t>251 days ago</t>
        </is>
      </c>
      <c r="G319" s="7" t="inlineStr">
        <is>
          <t>searched, not cited in a cell</t>
        </is>
      </c>
    </row>
    <row r="320">
      <c r="B320" s="6" t="inlineStr">
        <is>
          <t>S315</t>
        </is>
      </c>
      <c r="C320" s="6" t="inlineStr">
        <is>
          <t>Zanskar — Climate &amp; Clean Energy</t>
        </is>
      </c>
      <c r="D320" s="6" t="inlineStr">
        <is>
          <t>https://f4.fund/startups/zanskar</t>
        </is>
      </c>
      <c r="E320" s="6" t="inlineStr">
        <is>
          <t>2026-09-29</t>
        </is>
      </c>
      <c r="F320" s="6" t="inlineStr"/>
      <c r="G320" s="6" t="inlineStr">
        <is>
          <t>searched, not cited in a cell</t>
        </is>
      </c>
    </row>
    <row r="321">
      <c r="B321" s="7" t="inlineStr">
        <is>
          <t>E1</t>
        </is>
      </c>
      <c r="C321" s="7" t="inlineStr">
        <is>
          <t>ERW list_tables</t>
        </is>
      </c>
      <c r="D321" s="7" t="inlineStr">
        <is>
          <t>https://github.com/SamuelEnrique/erw (list_tables)</t>
        </is>
      </c>
      <c r="E321" s="7" t="inlineStr">
        <is>
          <t>2026-09-29</t>
        </is>
      </c>
      <c r="F321" s="7" t="inlineStr"/>
      <c r="G321" s="7" t="inlineStr">
        <is>
          <t>queried, not cited in a cell</t>
        </is>
      </c>
    </row>
    <row r="322">
      <c r="B322" s="6" t="inlineStr">
        <is>
          <t>E2</t>
        </is>
      </c>
      <c r="C322" s="6" t="inlineStr">
        <is>
          <t>ERW list_tables</t>
        </is>
      </c>
      <c r="D322" s="6" t="inlineStr">
        <is>
          <t>https://github.com/SamuelEnrique/erw (list_tables)</t>
        </is>
      </c>
      <c r="E322" s="6" t="inlineStr">
        <is>
          <t>2026-09-29</t>
        </is>
      </c>
      <c r="F322" s="6" t="inlineStr"/>
      <c r="G322" s="6" t="inlineStr">
        <is>
          <t>'Fundamentals'!B20:F20; 'Fundamentals'!B21</t>
        </is>
      </c>
    </row>
    <row r="323">
      <c r="B323" s="7" t="inlineStr">
        <is>
          <t>E3</t>
        </is>
      </c>
      <c r="C323" s="7" t="inlineStr">
        <is>
          <t>ERW list_tables</t>
        </is>
      </c>
      <c r="D323" s="7" t="inlineStr">
        <is>
          <t>https://github.com/SamuelEnrique/erw (list_tables)</t>
        </is>
      </c>
      <c r="E323" s="7" t="inlineStr">
        <is>
          <t>2026-09-29</t>
        </is>
      </c>
      <c r="F323" s="7" t="inlineStr"/>
      <c r="G323" s="7" t="inlineStr">
        <is>
          <t>queried, not cited in a cell</t>
        </is>
      </c>
    </row>
    <row r="324">
      <c r="B324" s="6" t="inlineStr">
        <is>
          <t>E4</t>
        </is>
      </c>
      <c r="C324" s="6" t="inlineStr">
        <is>
          <t>ERW describe_table eia860m_operating_generators</t>
        </is>
      </c>
      <c r="D324" s="6" t="inlineStr">
        <is>
          <t>https://github.com/SamuelEnrique/erw (eia860m_operating_generators)</t>
        </is>
      </c>
      <c r="E324" s="6" t="inlineStr">
        <is>
          <t>2026-09-29</t>
        </is>
      </c>
      <c r="F324" s="6" t="inlineStr"/>
      <c r="G324" s="6" t="inlineStr">
        <is>
          <t>queried, not cited in a cell</t>
        </is>
      </c>
    </row>
    <row r="325">
      <c r="B325" s="7" t="inlineStr">
        <is>
          <t>E5</t>
        </is>
      </c>
      <c r="C325" s="7" t="inlineStr">
        <is>
          <t>ERW describe_table energy_deals</t>
        </is>
      </c>
      <c r="D325" s="7" t="inlineStr">
        <is>
          <t>https://github.com/SamuelEnrique/erw (energy_deals)</t>
        </is>
      </c>
      <c r="E325" s="7" t="inlineStr">
        <is>
          <t>2026-09-29</t>
        </is>
      </c>
      <c r="F325" s="7" t="inlineStr"/>
      <c r="G325" s="7" t="inlineStr">
        <is>
          <t>queried, not cited in a cell</t>
        </is>
      </c>
    </row>
    <row r="326">
      <c r="B326" s="6" t="inlineStr">
        <is>
          <t>E6</t>
        </is>
      </c>
      <c r="C326" s="6" t="inlineStr">
        <is>
          <t>ERW describe_table eia_state_generation_monthly</t>
        </is>
      </c>
      <c r="D326" s="6" t="inlineStr">
        <is>
          <t>https://github.com/SamuelEnrique/erw (eia_state_generation_monthly)</t>
        </is>
      </c>
      <c r="E326" s="6" t="inlineStr">
        <is>
          <t>2026-09-29</t>
        </is>
      </c>
      <c r="F326" s="6" t="inlineStr"/>
      <c r="G326" s="6" t="inlineStr">
        <is>
          <t>queried, not cited in a cell</t>
        </is>
      </c>
    </row>
    <row r="327">
      <c r="B327" s="7" t="inlineStr">
        <is>
          <t>E7</t>
        </is>
      </c>
      <c r="C327" s="7" t="inlineStr">
        <is>
          <t>ERW query eia860m_operating_generators</t>
        </is>
      </c>
      <c r="D327" s="7" t="inlineStr">
        <is>
          <t>https://github.com/SamuelEnrique/erw (eia860m_operating_generators)</t>
        </is>
      </c>
      <c r="E327" s="7" t="inlineStr">
        <is>
          <t>2026-09-29</t>
        </is>
      </c>
      <c r="F327" s="7" t="inlineStr"/>
      <c r="G327" s="7" t="inlineStr">
        <is>
          <t>'Fundamentals'!B8:F8; 'Fundamentals'!B9:F9; 'Fundamentals'!B10:F10; 'Fundamentals'!B11:F11; 'Fundamentals'!B21; 'Risks'!B17</t>
        </is>
      </c>
    </row>
    <row r="328">
      <c r="B328" s="6" t="inlineStr">
        <is>
          <t>E8</t>
        </is>
      </c>
      <c r="C328" s="6" t="inlineStr">
        <is>
          <t>ERW query eia860m_operating_generators</t>
        </is>
      </c>
      <c r="D328" s="6" t="inlineStr">
        <is>
          <t>https://github.com/SamuelEnrique/erw (eia860m_operating_generators)</t>
        </is>
      </c>
      <c r="E328" s="6" t="inlineStr">
        <is>
          <t>2026-09-29</t>
        </is>
      </c>
      <c r="F328" s="6" t="inlineStr"/>
      <c r="G328" s="6" t="inlineStr">
        <is>
          <t>'Fundamentals'!B7:F7; 'Fundamentals'!B10:F10; 'Fundamentals'!B11:F11; 'Fundamentals'!B21; 'Trends'!B61:D61; 'Trends'!B62:D62; 'Trends'!B63:D63; 'Trends'!B64:D64; 'Trends'!B65:D65; 'Trends'!B66; 'Risks'!B17</t>
        </is>
      </c>
    </row>
    <row r="329">
      <c r="B329" s="7" t="inlineStr">
        <is>
          <t>E9</t>
        </is>
      </c>
      <c r="C329" s="7" t="inlineStr">
        <is>
          <t>ERW describe_table eia860m_planned_generators</t>
        </is>
      </c>
      <c r="D329" s="7" t="inlineStr">
        <is>
          <t>https://github.com/SamuelEnrique/erw (eia860m_planned_generators)</t>
        </is>
      </c>
      <c r="E329" s="7" t="inlineStr">
        <is>
          <t>2026-09-29</t>
        </is>
      </c>
      <c r="F329" s="7" t="inlineStr"/>
      <c r="G329" s="7" t="inlineStr">
        <is>
          <t>queried, not cited in a cell</t>
        </is>
      </c>
    </row>
    <row r="330">
      <c r="B330" s="6" t="inlineStr">
        <is>
          <t>E10</t>
        </is>
      </c>
      <c r="C330" s="6" t="inlineStr">
        <is>
          <t>ERW query eia_state_generation_monthly</t>
        </is>
      </c>
      <c r="D330" s="6" t="inlineStr">
        <is>
          <t>https://github.com/SamuelEnrique/erw (eia_state_generation_monthly)</t>
        </is>
      </c>
      <c r="E330" s="6" t="inlineStr">
        <is>
          <t>2026-09-29</t>
        </is>
      </c>
      <c r="F330" s="6" t="inlineStr"/>
      <c r="G330" s="6" t="inlineStr">
        <is>
          <t>'Trends'!B7:E7; 'Trends'!B8:E8; 'Trends'!B9:E9; 'Trends'!B10:E10; 'Trends'!B11:E11; 'Trends'!B27</t>
        </is>
      </c>
    </row>
    <row r="331">
      <c r="B331" s="7" t="inlineStr">
        <is>
          <t>E11</t>
        </is>
      </c>
      <c r="C331" s="7" t="inlineStr">
        <is>
          <t>ERW query energy_deals</t>
        </is>
      </c>
      <c r="D331" s="7" t="inlineStr">
        <is>
          <t>https://github.com/SamuelEnrique/erw (energy_deals)</t>
        </is>
      </c>
      <c r="E331" s="7" t="inlineStr">
        <is>
          <t>2026-09-29</t>
        </is>
      </c>
      <c r="F331" s="7" t="inlineStr"/>
      <c r="G331" s="7" t="inlineStr">
        <is>
          <t>'Scope'!B14:C14; 'Scope'!B15; 'Fundamentals'!B20:F20; 'Fundamentals'!B21</t>
        </is>
      </c>
    </row>
    <row r="332">
      <c r="B332" s="6" t="inlineStr">
        <is>
          <t>E12</t>
        </is>
      </c>
      <c r="C332" s="6" t="inlineStr">
        <is>
          <t>ERW query eia860m_planned_generators</t>
        </is>
      </c>
      <c r="D332" s="6" t="inlineStr">
        <is>
          <t>https://github.com/SamuelEnrique/erw (eia860m_planned_generators)</t>
        </is>
      </c>
      <c r="E332" s="6" t="inlineStr">
        <is>
          <t>2026-09-29</t>
        </is>
      </c>
      <c r="F332" s="6" t="inlineStr"/>
      <c r="G332" s="6" t="inlineStr">
        <is>
          <t>'Fundamentals'!B14:F14; 'Fundamentals'!B15:F15; 'Fundamentals'!B16:F16; 'Fundamentals'!B21; 'Trends'!B7:E7; 'Trends'!B8:E8; 'Trends'!B9:E9; 'Trends'!B10:E10; 'Trends'!B11:E11; 'Trends'!B27; 'Risks'!B17</t>
        </is>
      </c>
    </row>
    <row r="333">
      <c r="B333" s="7" t="inlineStr">
        <is>
          <t>E13</t>
        </is>
      </c>
      <c r="C333" s="7" t="inlineStr">
        <is>
          <t>ERW query energy_deals</t>
        </is>
      </c>
      <c r="D333" s="7" t="inlineStr">
        <is>
          <t>https://github.com/SamuelEnrique/erw (energy_deals)</t>
        </is>
      </c>
      <c r="E333" s="7" t="inlineStr">
        <is>
          <t>2026-09-29</t>
        </is>
      </c>
      <c r="F333" s="7" t="inlineStr"/>
      <c r="G333" s="7" t="inlineStr">
        <is>
          <t>queried, not cited in a cell</t>
        </is>
      </c>
    </row>
    <row r="334">
      <c r="B334" s="6" t="inlineStr">
        <is>
          <t>E14</t>
        </is>
      </c>
      <c r="C334" s="6" t="inlineStr">
        <is>
          <t>ERW query eia_state_generation_monthly</t>
        </is>
      </c>
      <c r="D334" s="6" t="inlineStr">
        <is>
          <t>https://github.com/SamuelEnrique/erw (eia_state_generation_monthly)</t>
        </is>
      </c>
      <c r="E334" s="6" t="inlineStr">
        <is>
          <t>2026-09-29</t>
        </is>
      </c>
      <c r="F334" s="6" t="inlineStr"/>
      <c r="G334" s="6" t="inlineStr">
        <is>
          <t>'Trends'!B7:E7; 'Trends'!B8:E8; 'Trends'!B9:E9; 'Trends'!B10:E10; 'Trends'!B11:E11; 'Trends'!B27</t>
        </is>
      </c>
    </row>
    <row r="335">
      <c r="B335" s="7" t="inlineStr">
        <is>
          <t>E15</t>
        </is>
      </c>
      <c r="C335" s="7" t="inlineStr">
        <is>
          <t>ERW query eia860m_operating_generators</t>
        </is>
      </c>
      <c r="D335" s="7" t="inlineStr">
        <is>
          <t>https://github.com/SamuelEnrique/erw (eia860m_operating_generators)</t>
        </is>
      </c>
      <c r="E335" s="7" t="inlineStr">
        <is>
          <t>2026-09-29</t>
        </is>
      </c>
      <c r="F335" s="7" t="inlineStr"/>
      <c r="G335" s="7" t="inlineStr">
        <is>
          <t>'Fundamentals'!B12:F12; 'Fundamentals'!B13:F13; 'Fundamentals'!B21</t>
        </is>
      </c>
    </row>
    <row r="336">
      <c r="B336" s="6" t="inlineStr">
        <is>
          <t>E16</t>
        </is>
      </c>
      <c r="C336" s="6" t="inlineStr">
        <is>
          <t>ERW query eia_state_generation_monthly</t>
        </is>
      </c>
      <c r="D336" s="6" t="inlineStr">
        <is>
          <t>https://github.com/SamuelEnrique/erw (eia_state_generation_monthly)</t>
        </is>
      </c>
      <c r="E336" s="6" t="inlineStr">
        <is>
          <t>2026-09-29</t>
        </is>
      </c>
      <c r="F336" s="6" t="inlineStr"/>
      <c r="G336" s="6" t="inlineStr">
        <is>
          <t>'Fundamentals'!B17:F17; 'Fundamentals'!B21; 'Trends'!B7:E7; 'Trends'!B8:E8; 'Trends'!B9:E9; 'Trends'!B10:E10; 'Trends'!B11:E11; 'Trends'!B27; 'Risks'!B17</t>
        </is>
      </c>
    </row>
    <row r="337">
      <c r="B337" s="7" t="inlineStr">
        <is>
          <t>E17</t>
        </is>
      </c>
      <c r="C337" s="7" t="inlineStr">
        <is>
          <t>ERW query energy_deals</t>
        </is>
      </c>
      <c r="D337" s="7" t="inlineStr">
        <is>
          <t>https://github.com/SamuelEnrique/erw (energy_deals)</t>
        </is>
      </c>
      <c r="E337" s="7" t="inlineStr">
        <is>
          <t>2026-09-29</t>
        </is>
      </c>
      <c r="F337" s="7" t="inlineStr"/>
      <c r="G337" s="7" t="inlineStr">
        <is>
          <t>queried, not cited in a cell</t>
        </is>
      </c>
    </row>
    <row r="338">
      <c r="B338" s="6" t="inlineStr">
        <is>
          <t>E18</t>
        </is>
      </c>
      <c r="C338" s="6" t="inlineStr">
        <is>
          <t>ERW query energy_deals</t>
        </is>
      </c>
      <c r="D338" s="6" t="inlineStr">
        <is>
          <t>https://github.com/SamuelEnrique/erw (energy_deals)</t>
        </is>
      </c>
      <c r="E338" s="6" t="inlineStr">
        <is>
          <t>2026-09-29</t>
        </is>
      </c>
      <c r="F338" s="6" t="inlineStr"/>
      <c r="G338" s="6" t="inlineStr">
        <is>
          <t>'Scope'!B14:C14; 'Scope'!B15</t>
        </is>
      </c>
    </row>
    <row r="339">
      <c r="B339" s="7" t="inlineStr">
        <is>
          <t>E19</t>
        </is>
      </c>
      <c r="C339" s="7" t="inlineStr">
        <is>
          <t>ERW describe_table caiso_interconnection_queue</t>
        </is>
      </c>
      <c r="D339" s="7" t="inlineStr">
        <is>
          <t>https://github.com/SamuelEnrique/erw (caiso_interconnection_queue)</t>
        </is>
      </c>
      <c r="E339" s="7" t="inlineStr">
        <is>
          <t>2026-09-29</t>
        </is>
      </c>
      <c r="F339" s="7" t="inlineStr"/>
      <c r="G339" s="7" t="inlineStr">
        <is>
          <t>queried, not cited in a cell</t>
        </is>
      </c>
    </row>
    <row r="340">
      <c r="B340" s="6" t="inlineStr">
        <is>
          <t>E20</t>
        </is>
      </c>
      <c r="C340" s="6" t="inlineStr">
        <is>
          <t>ERW list_tables</t>
        </is>
      </c>
      <c r="D340" s="6" t="inlineStr">
        <is>
          <t>https://github.com/SamuelEnrique/erw (list_tables)</t>
        </is>
      </c>
      <c r="E340" s="6" t="inlineStr">
        <is>
          <t>2026-09-29</t>
        </is>
      </c>
      <c r="F340" s="6" t="inlineStr"/>
      <c r="G340" s="6" t="inlineStr">
        <is>
          <t>queried, not cited in a cell</t>
        </is>
      </c>
    </row>
    <row r="341">
      <c r="B341" s="7" t="inlineStr">
        <is>
          <t>E21</t>
        </is>
      </c>
      <c r="C341" s="7" t="inlineStr">
        <is>
          <t>ERW list_tables</t>
        </is>
      </c>
      <c r="D341" s="7" t="inlineStr">
        <is>
          <t>https://github.com/SamuelEnrique/erw (list_tables)</t>
        </is>
      </c>
      <c r="E341" s="7" t="inlineStr">
        <is>
          <t>2026-09-29</t>
        </is>
      </c>
      <c r="F341" s="7" t="inlineStr"/>
      <c r="G341" s="7" t="inlineStr">
        <is>
          <t>queried, not cited in a cell</t>
        </is>
      </c>
    </row>
    <row r="342">
      <c r="B342" s="6" t="inlineStr">
        <is>
          <t>E22</t>
        </is>
      </c>
      <c r="C342" s="6" t="inlineStr">
        <is>
          <t>ERW describe_table energy_deals</t>
        </is>
      </c>
      <c r="D342" s="6" t="inlineStr">
        <is>
          <t>https://github.com/SamuelEnrique/erw (energy_deals)</t>
        </is>
      </c>
      <c r="E342" s="6" t="inlineStr">
        <is>
          <t>2026-09-29</t>
        </is>
      </c>
      <c r="F342" s="6" t="inlineStr"/>
      <c r="G342" s="6" t="inlineStr">
        <is>
          <t>queried, not cited in a cell</t>
        </is>
      </c>
    </row>
    <row r="343">
      <c r="B343" s="7" t="inlineStr">
        <is>
          <t>E23</t>
        </is>
      </c>
      <c r="C343" s="7" t="inlineStr">
        <is>
          <t>ERW describe_table energy_companies</t>
        </is>
      </c>
      <c r="D343" s="7" t="inlineStr">
        <is>
          <t>https://github.com/SamuelEnrique/erw (energy_companies)</t>
        </is>
      </c>
      <c r="E343" s="7" t="inlineStr">
        <is>
          <t>2026-09-29</t>
        </is>
      </c>
      <c r="F343" s="7" t="inlineStr"/>
      <c r="G343" s="7" t="inlineStr">
        <is>
          <t>queried, not cited in a cell</t>
        </is>
      </c>
    </row>
    <row r="344">
      <c r="B344" s="6" t="inlineStr">
        <is>
          <t>E24</t>
        </is>
      </c>
      <c r="C344" s="6" t="inlineStr">
        <is>
          <t>ERW query energy_companies</t>
        </is>
      </c>
      <c r="D344" s="6" t="inlineStr">
        <is>
          <t>https://github.com/SamuelEnrique/erw (energy_companies)</t>
        </is>
      </c>
      <c r="E344" s="6" t="inlineStr">
        <is>
          <t>2026-09-29</t>
        </is>
      </c>
      <c r="F344" s="6" t="inlineStr"/>
      <c r="G344" s="6" t="inlineStr">
        <is>
          <t>queried, not cited in a cell</t>
        </is>
      </c>
    </row>
    <row r="345">
      <c r="B345" s="7" t="inlineStr">
        <is>
          <t>E25</t>
        </is>
      </c>
      <c r="C345" s="7" t="inlineStr">
        <is>
          <t>ERW query energy_deals</t>
        </is>
      </c>
      <c r="D345" s="7" t="inlineStr">
        <is>
          <t>https://github.com/SamuelEnrique/erw (energy_deals)</t>
        </is>
      </c>
      <c r="E345" s="7" t="inlineStr">
        <is>
          <t>2026-09-29</t>
        </is>
      </c>
      <c r="F345" s="7" t="inlineStr"/>
      <c r="G345" s="7" t="inlineStr">
        <is>
          <t>queried, not cited in a cell</t>
        </is>
      </c>
    </row>
    <row r="346">
      <c r="B346" s="6" t="inlineStr">
        <is>
          <t>E26</t>
        </is>
      </c>
      <c r="C346" s="6" t="inlineStr">
        <is>
          <t>ERW query energy_deals</t>
        </is>
      </c>
      <c r="D346" s="6" t="inlineStr">
        <is>
          <t>https://github.com/SamuelEnrique/erw (energy_deals)</t>
        </is>
      </c>
      <c r="E346" s="6" t="inlineStr">
        <is>
          <t>2026-09-29</t>
        </is>
      </c>
      <c r="F346" s="6" t="inlineStr"/>
      <c r="G346" s="6" t="inlineStr">
        <is>
          <t>queried, not cited in a cell</t>
        </is>
      </c>
    </row>
    <row r="347">
      <c r="B347" s="7" t="inlineStr">
        <is>
          <t>E27</t>
        </is>
      </c>
      <c r="C347" s="7" t="inlineStr">
        <is>
          <t>ERW query energy_deals</t>
        </is>
      </c>
      <c r="D347" s="7" t="inlineStr">
        <is>
          <t>https://github.com/SamuelEnrique/erw (energy_deals)</t>
        </is>
      </c>
      <c r="E347" s="7" t="inlineStr">
        <is>
          <t>2026-09-29</t>
        </is>
      </c>
      <c r="F347" s="7" t="inlineStr"/>
      <c r="G347" s="7" t="inlineStr">
        <is>
          <t>queried, not cited in a cell</t>
        </is>
      </c>
    </row>
    <row r="348">
      <c r="B348" s="6" t="inlineStr">
        <is>
          <t>E28</t>
        </is>
      </c>
      <c r="C348" s="6" t="inlineStr">
        <is>
          <t>ERW query energy_deals</t>
        </is>
      </c>
      <c r="D348" s="6" t="inlineStr">
        <is>
          <t>https://github.com/SamuelEnrique/erw (energy_deals)</t>
        </is>
      </c>
      <c r="E348" s="6" t="inlineStr">
        <is>
          <t>2026-09-29</t>
        </is>
      </c>
      <c r="F348" s="6" t="inlineStr"/>
      <c r="G348" s="6" t="inlineStr">
        <is>
          <t>queried, not cited in a cell</t>
        </is>
      </c>
    </row>
    <row r="349">
      <c r="B349" s="7" t="inlineStr">
        <is>
          <t>E29</t>
        </is>
      </c>
      <c r="C349" s="7" t="inlineStr">
        <is>
          <t>ERW query energy_companies</t>
        </is>
      </c>
      <c r="D349" s="7" t="inlineStr">
        <is>
          <t>https://github.com/SamuelEnrique/erw (energy_companies)</t>
        </is>
      </c>
      <c r="E349" s="7" t="inlineStr">
        <is>
          <t>2026-09-29</t>
        </is>
      </c>
      <c r="F349" s="7" t="inlineStr"/>
      <c r="G349" s="7" t="inlineStr">
        <is>
          <t>'Landscape'!B7:J7; 'Landscape'!B8:J8; 'Landscape'!B9:J9; 'Landscape'!B10:J10; 'Landscape'!B11:J11; 'Landscape'!B15</t>
        </is>
      </c>
    </row>
    <row r="350">
      <c r="B350" s="6" t="inlineStr">
        <is>
          <t>E30</t>
        </is>
      </c>
      <c r="C350" s="6" t="inlineStr">
        <is>
          <t>ERW query energy_companies</t>
        </is>
      </c>
      <c r="D350" s="6" t="inlineStr">
        <is>
          <t>https://github.com/SamuelEnrique/erw (energy_companies)</t>
        </is>
      </c>
      <c r="E350" s="6" t="inlineStr">
        <is>
          <t>2026-09-29</t>
        </is>
      </c>
      <c r="F350" s="6" t="inlineStr"/>
      <c r="G350" s="6" t="inlineStr">
        <is>
          <t>'Landscape'!B7:J7; 'Landscape'!B10:J10; 'Landscape'!B15</t>
        </is>
      </c>
    </row>
    <row r="351">
      <c r="B351" s="7" t="inlineStr">
        <is>
          <t>E31</t>
        </is>
      </c>
      <c r="C351" s="7" t="inlineStr">
        <is>
          <t>ERW query energy_companies</t>
        </is>
      </c>
      <c r="D351" s="7" t="inlineStr">
        <is>
          <t>https://github.com/SamuelEnrique/erw (energy_companies)</t>
        </is>
      </c>
      <c r="E351" s="7" t="inlineStr">
        <is>
          <t>2026-09-29</t>
        </is>
      </c>
      <c r="F351" s="7" t="inlineStr"/>
      <c r="G351" s="7" t="inlineStr">
        <is>
          <t>queried, not cited in a cell</t>
        </is>
      </c>
    </row>
    <row r="352">
      <c r="B352" s="6" t="inlineStr">
        <is>
          <t>E32</t>
        </is>
      </c>
      <c r="C352" s="6" t="inlineStr">
        <is>
          <t>ERW query energy_companies</t>
        </is>
      </c>
      <c r="D352" s="6" t="inlineStr">
        <is>
          <t>https://github.com/SamuelEnrique/erw (energy_companies)</t>
        </is>
      </c>
      <c r="E352" s="6" t="inlineStr">
        <is>
          <t>2026-09-29</t>
        </is>
      </c>
      <c r="F352" s="6" t="inlineStr"/>
      <c r="G352" s="6" t="inlineStr">
        <is>
          <t>'Landscape'!B13:J13; 'Landscape'!B15</t>
        </is>
      </c>
    </row>
    <row r="353">
      <c r="B353" s="7" t="inlineStr">
        <is>
          <t>E33</t>
        </is>
      </c>
      <c r="C353" s="7" t="inlineStr">
        <is>
          <t>ERW query energy_deals</t>
        </is>
      </c>
      <c r="D353" s="7" t="inlineStr">
        <is>
          <t>https://github.com/SamuelEnrique/erw (energy_deals)</t>
        </is>
      </c>
      <c r="E353" s="7" t="inlineStr">
        <is>
          <t>2026-09-29</t>
        </is>
      </c>
      <c r="F353" s="7" t="inlineStr"/>
      <c r="G353" s="7" t="inlineStr">
        <is>
          <t>queried, not cited in a cell</t>
        </is>
      </c>
    </row>
    <row r="354">
      <c r="B354" s="6" t="inlineStr">
        <is>
          <t>E34</t>
        </is>
      </c>
      <c r="C354" s="6" t="inlineStr">
        <is>
          <t>ERW query energy_deals</t>
        </is>
      </c>
      <c r="D354" s="6" t="inlineStr">
        <is>
          <t>https://github.com/SamuelEnrique/erw (energy_deals)</t>
        </is>
      </c>
      <c r="E354" s="6" t="inlineStr">
        <is>
          <t>2026-09-29</t>
        </is>
      </c>
      <c r="F354" s="6" t="inlineStr"/>
      <c r="G354" s="6" t="inlineStr">
        <is>
          <t>queried, not cited in a cell</t>
        </is>
      </c>
    </row>
    <row r="355">
      <c r="B355" s="7" t="inlineStr">
        <is>
          <t>E35</t>
        </is>
      </c>
      <c r="C355" s="7" t="inlineStr">
        <is>
          <t>ERW query energy_deals</t>
        </is>
      </c>
      <c r="D355" s="7" t="inlineStr">
        <is>
          <t>https://github.com/SamuelEnrique/erw (energy_deals)</t>
        </is>
      </c>
      <c r="E355" s="7" t="inlineStr">
        <is>
          <t>2026-09-29</t>
        </is>
      </c>
      <c r="F355" s="7" t="inlineStr"/>
      <c r="G355" s="7" t="inlineStr">
        <is>
          <t>queried, not cited in a cell</t>
        </is>
      </c>
    </row>
    <row r="356">
      <c r="B356" s="6" t="inlineStr">
        <is>
          <t>E36</t>
        </is>
      </c>
      <c r="C356" s="6" t="inlineStr">
        <is>
          <t>ERW query energy_deals</t>
        </is>
      </c>
      <c r="D356" s="6" t="inlineStr">
        <is>
          <t>https://github.com/SamuelEnrique/erw (energy_deals)</t>
        </is>
      </c>
      <c r="E356" s="6" t="inlineStr">
        <is>
          <t>2026-09-29</t>
        </is>
      </c>
      <c r="F356" s="6" t="inlineStr"/>
      <c r="G356" s="6" t="inlineStr">
        <is>
          <t>queried, not cited in a cell</t>
        </is>
      </c>
    </row>
    <row r="357">
      <c r="B357" s="7" t="inlineStr">
        <is>
          <t>E37</t>
        </is>
      </c>
      <c r="C357" s="7" t="inlineStr">
        <is>
          <t>ERW query energy_deals</t>
        </is>
      </c>
      <c r="D357" s="7" t="inlineStr">
        <is>
          <t>https://github.com/SamuelEnrique/erw (energy_deals)</t>
        </is>
      </c>
      <c r="E357" s="7" t="inlineStr">
        <is>
          <t>2026-09-29</t>
        </is>
      </c>
      <c r="F357" s="7" t="inlineStr"/>
      <c r="G357" s="7" t="inlineStr">
        <is>
          <t>queried, not cited in a cell</t>
        </is>
      </c>
    </row>
  </sheetData>
  <mergeCells count="1">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2026-09-30T05:12:38Z</dcterms:created>
  <dcterms:modified xmlns:dcterms="http://purl.org/dc/terms/" xmlns:xsi="http://www.w3.org/2001/XMLSchema-instance" xsi:type="dcterms:W3CDTF">2026-09-30T05:12:40Z</dcterms:modified>
</cp:coreProperties>
</file>