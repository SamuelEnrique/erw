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 sheetId="1" state="visible" r:id="rId1"/>
    <sheet xmlns:r="http://schemas.openxmlformats.org/officeDocument/2006/relationships" name="Fundamentals" sheetId="2" state="visible" r:id="rId2"/>
    <sheet xmlns:r="http://schemas.openxmlformats.org/officeDocument/2006/relationships" name="Trends" sheetId="3" state="visible" r:id="rId3"/>
    <sheet xmlns:r="http://schemas.openxmlformats.org/officeDocument/2006/relationships" name="Landscape" sheetId="4" state="visible" r:id="rId4"/>
    <sheet xmlns:r="http://schemas.openxmlformats.org/officeDocument/2006/relationships" name="Capital" sheetId="5" state="visible" r:id="rId5"/>
    <sheet xmlns:r="http://schemas.openxmlformats.org/officeDocument/2006/relationships" name="Incumbents" sheetId="6" state="visible" r:id="rId6"/>
    <sheet xmlns:r="http://schemas.openxmlformats.org/officeDocument/2006/relationships" name="Policy" sheetId="7" state="visible" r:id="rId7"/>
    <sheet xmlns:r="http://schemas.openxmlformats.org/officeDocument/2006/relationships" name="Risks" sheetId="8" state="visible" r:id="rId8"/>
    <sheet xmlns:r="http://schemas.openxmlformats.org/officeDocument/2006/relationships" name="Sourc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Georgia"/>
      <b val="1"/>
      <color rgb="008C1515"/>
      <sz val="16"/>
    </font>
    <font>
      <name val="Georgia"/>
      <i val="1"/>
      <color rgb="002E2D29"/>
      <sz val="11"/>
    </font>
    <font>
      <name val="Georgia"/>
      <b val="1"/>
      <color rgb="00FFFFFF"/>
      <sz val="11"/>
    </font>
    <font>
      <name val="Calibri"/>
      <b val="1"/>
      <color rgb="00FFFFFF"/>
      <sz val="10"/>
    </font>
    <font>
      <name val="Calibri"/>
      <color rgb="002E2D29"/>
      <sz val="10"/>
    </font>
  </fonts>
  <fills count="4">
    <fill>
      <patternFill/>
    </fill>
    <fill>
      <patternFill patternType="gray125"/>
    </fill>
    <fill>
      <patternFill patternType="solid">
        <fgColor rgb="008C1515"/>
      </patternFill>
    </fill>
    <fill>
      <patternFill patternType="solid">
        <fgColor rgb="00F7F3EA"/>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US storage nameplate capacity: operating vs. pipeline</a:t>
            </a:r>
          </a:p>
        </rich>
      </tx>
    </title>
    <plotArea>
      <barChart>
        <barDir val="col"/>
        <grouping val="clustered"/>
        <ser>
          <idx val="0"/>
          <order val="0"/>
          <tx>
            <strRef>
              <f>'Trends'!C6</f>
            </strRef>
          </tx>
          <spPr>
            <a:solidFill xmlns:a="http://schemas.openxmlformats.org/drawingml/2006/main">
              <a:srgbClr val="8C1515"/>
            </a:solidFill>
            <a:ln xmlns:a="http://schemas.openxmlformats.org/drawingml/2006/main">
              <a:solidFill>
                <a:srgbClr val="8C1515"/>
              </a:solidFill>
              <a:prstDash val="solid"/>
            </a:ln>
          </spPr>
          <cat>
            <numRef>
              <f>'Trends'!$B$7:$B$8</f>
            </numRef>
          </cat>
          <val>
            <numRef>
              <f>'Trends'!$C$7:$C$8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Storage nameplate capacity by state</a:t>
            </a:r>
          </a:p>
        </rich>
      </tx>
    </title>
    <plotArea>
      <barChart>
        <barDir val="col"/>
        <grouping val="clustered"/>
        <ser>
          <idx val="0"/>
          <order val="0"/>
          <tx>
            <strRef>
              <f>'Trends'!C28</f>
            </strRef>
          </tx>
          <spPr>
            <a:solidFill xmlns:a="http://schemas.openxmlformats.org/drawingml/2006/main">
              <a:srgbClr val="8C1515"/>
            </a:solidFill>
            <a:ln xmlns:a="http://schemas.openxmlformats.org/drawingml/2006/main">
              <a:solidFill>
                <a:srgbClr val="8C1515"/>
              </a:solidFill>
              <a:prstDash val="solid"/>
            </a:ln>
          </spPr>
          <cat>
            <numRef>
              <f>'Trends'!$B$29:$B$30</f>
            </numRef>
          </cat>
          <val>
            <numRef>
              <f>'Trends'!$C$29:$C$30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CAISO day-ahead price range, Aug 26-Sep 29 2026</a:t>
            </a:r>
          </a:p>
        </rich>
      </tx>
    </title>
    <plotArea>
      <barChart>
        <barDir val="col"/>
        <grouping val="clustered"/>
        <ser>
          <idx val="0"/>
          <order val="0"/>
          <tx>
            <strRef>
              <f>'Trends'!C50</f>
            </strRef>
          </tx>
          <spPr>
            <a:solidFill xmlns:a="http://schemas.openxmlformats.org/drawingml/2006/main">
              <a:srgbClr val="8C1515"/>
            </a:solidFill>
            <a:ln xmlns:a="http://schemas.openxmlformats.org/drawingml/2006/main">
              <a:solidFill>
                <a:srgbClr val="8C1515"/>
              </a:solidFill>
              <a:prstDash val="solid"/>
            </a:ln>
          </spPr>
          <cat>
            <numRef>
              <f>'Trends'!$B$51:$B$52</f>
            </numRef>
          </cat>
          <val>
            <numRef>
              <f>'Trends'!$C$51:$C$52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image" Target="/xl/media/image1.png" Id="rId4"/><Relationship Type="http://schemas.openxmlformats.org/officeDocument/2006/relationships/image" Target="/xl/media/image2.png" Id="rId5"/></Relationships>
</file>

<file path=xl/drawings/drawing1.xml><?xml version="1.0" encoding="utf-8"?>
<wsDr xmlns="http://schemas.openxmlformats.org/drawingml/2006/spreadsheetDrawing">
  <oneCellAnchor>
    <from>
      <col>1</col>
      <colOff>0</colOff>
      <row>8</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30</row>
      <rowOff>0</rowOff>
    </from>
    <ext cx="576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52</row>
      <rowOff>0</rowOff>
    </from>
    <ext cx="576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col>
      <colOff>0</colOff>
      <row>67</row>
      <rowOff>0</rowOff>
    </from>
    <ext cx="6858000" cy="4286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98</row>
      <rowOff>0</rowOff>
    </from>
    <ext cx="6858000" cy="4286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2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Scope</t>
        </is>
      </c>
    </row>
    <row r="2">
      <c r="B2" s="2" t="inlineStr">
        <is>
          <t>grid-scale battery storage software for merchant operators</t>
        </is>
      </c>
    </row>
    <row r="4" ht="20" customHeight="1">
      <c r="B4" s="3" t="inlineStr">
        <is>
          <t>(1) DEFINITION</t>
        </is>
      </c>
    </row>
    <row r="5" ht="60" customHeight="1">
      <c r="B5" s="4" t="inlineStr">
        <is>
          <r>
            <rPr>
              <rFont val="Calibri"/>
              <b val="1"/>
              <color rgb="002E2D29"/>
              <sz val="10"/>
            </rPr>
            <t xml:space="preserve">Fact: </t>
          </r>
          <r>
            <rPr>
              <rFont val="Calibri"/>
              <color rgb="002E2D29"/>
              <sz val="10"/>
            </rPr>
            <t>Software that decides, in real time, how a grid-connected battery should charge and discharge to earn revenue across wholesale power and ancillary-service markets, for owners exposed fully or partly to market prices rather than locked into a single offtake contract. It covers bid generation, price forecasting, dispatch scheduling, telemetry/SCADA integration, and risk and collateral management, sold to or embedded in the operations of storage asset owners.</t>
          </r>
        </is>
      </c>
    </row>
    <row r="6" ht="30" customHeight="1">
      <c r="B6" s="4" t="inlineStr">
        <is>
          <r>
            <rPr>
              <rFont val="Calibri"/>
              <b val="1"/>
              <i val="1"/>
              <color rgb="00808080"/>
              <sz val="10"/>
            </rPr>
            <t xml:space="preserve">Source(s): </t>
          </r>
          <r>
            <rPr>
              <rFont val="Calibri"/>
              <i val="1"/>
              <color rgb="00808080"/>
              <sz val="10"/>
            </rPr>
            <t>S18 Fluence Energy FY2025 Annual Results: Revenue Down 16% to $2; S22 Habitat Energy 2026 Company Profile: Valuation, Funding &amp; In; S25 What we do - Habitat Energy; S57 US battery energy storage operators and optimizers - and how</t>
          </r>
        </is>
      </c>
    </row>
    <row r="8" ht="20" customHeight="1">
      <c r="B8" s="3" t="inlineStr">
        <is>
          <t>(2) VALUE CHAIN</t>
        </is>
      </c>
    </row>
    <row r="9">
      <c r="B9" s="5" t="inlineStr">
        <is>
          <t>Stage</t>
        </is>
      </c>
      <c r="C9" s="5" t="inlineStr">
        <is>
          <t>What happens</t>
        </is>
      </c>
    </row>
    <row r="10">
      <c r="B10" s="6" t="inlineStr">
        <is>
          <t>Cells and packs</t>
        </is>
      </c>
      <c r="C10" s="6" t="inlineStr">
        <is>
          <t>Battery cell and pack manufacturing (CATL, LG Energy Solution, Samsung SDI, BYD) supplies the hardware input; not in scope.</t>
        </is>
      </c>
    </row>
    <row r="11">
      <c r="B11" s="7" t="inlineStr">
        <is>
          <t>System integrators</t>
        </is>
      </c>
      <c r="C11" s="7" t="inlineStr">
        <is>
          <t>Integrators build the containerized BESS and sometimes bundle optimization software, for example Fluence's Mosaic (bid optimization and forecasting active in Australia, California, Texas and Japan) and Fluence Nispera (AI-driven asset performance management). In scope where the software line is separable; energy storage products remain 96% of Fluence's revenue.</t>
        </is>
      </c>
    </row>
    <row r="12">
      <c r="B12" s="6" t="inlineStr">
        <is>
          <t>Asset owner / developer</t>
        </is>
      </c>
      <c r="C12" s="6" t="inlineStr">
        <is>
          <t>IPPs, funds and utilities buy optimization software or enter tolling/revenue-share deals with power marketers such as Gridmatic, which manages up to 500MW of battery capacity in ERCOT and CAISO under a tolling arrangement, paying a battery storage owner a fixed fee to take control of the asset and keep all revenues.</t>
        </is>
      </c>
    </row>
    <row r="13">
      <c r="B13" s="7" t="inlineStr">
        <is>
          <t>Optimization/trading software and services (the niche)</t>
        </is>
      </c>
      <c r="C13" s="7" t="inlineStr">
        <is>
          <t>Vendors provide bid generation, price forecasting, dispatch scheduling, telemetry/SCADA integration, and risk/collateral management, sometimes with a human trading desk behind the algorithm. Examples: Habitat Energy's EVOLVE platform (over 60 battery storage, data science and trading professionals in Oxford, UK), Stem's Athena/PowerTrack Optimizer, Fluence Mosaic (over 10GW of assets under management), Gridmatic, GridBeyond (more than 2,600MW of assets under management, including more than 500MW of battery storage), and Tyba (supports operations of over 1GWh of storage assets in Texas and California).</t>
        </is>
      </c>
    </row>
    <row r="14">
      <c r="B14" s="6" t="inlineStr">
        <is>
          <t>Market interface</t>
        </is>
      </c>
      <c r="C14" s="6" t="inlineStr">
        <is>
          <t>The ISO/RTO itself (ERCOT, CAISO, PJM etc.) is the venue the software bids into, not a vendor. CAISO's day-ahead hub prices ranged from -0.615 USD/MWh to 201.00 USD/MWh over roughly five weeks in the warehouse, the price spread merchant storage software is built to capture.</t>
        </is>
      </c>
    </row>
    <row r="15">
      <c r="B15" s="7" t="inlineStr">
        <is>
          <t>End customer for electricity</t>
        </is>
      </c>
      <c r="C15" s="7" t="inlineStr">
        <is>
          <t>Ratepayers, corporate buyers and data centers ultimately consume the power; outside this niche's direct scope.</t>
        </is>
      </c>
    </row>
    <row r="16" ht="75" customHeight="1">
      <c r="B16" s="4" t="inlineStr">
        <is>
          <r>
            <rPr>
              <rFont val="Calibri"/>
              <b val="1"/>
              <i val="1"/>
              <color rgb="00808080"/>
              <sz val="10"/>
            </rPr>
            <t xml:space="preserve">Source(s): </t>
          </r>
          <r>
            <rPr>
              <rFont val="Calibri"/>
              <i val="1"/>
              <color rgb="00808080"/>
              <sz val="10"/>
            </rPr>
            <t>S18 Fluence Energy FY2025 Annual Results: Revenue Down 16% to $2; S70 Fluence Energy, Inc. - Form 10-K - FY2025; S39 Gridmatic US$50 million fund to manage battery storage proje; S23 Habitat Energy launches US Battery storage optimization plat; S25 What we do - Habitat Energy; S57 US battery energy storage operators and optimizers - and how; S75 AI-driven optimiser GridBeyond raises €52 million from inves; S97 Tyba raises $13.9M Series A to improve the profitability of ; E18 ERW table caiso_dam_hub_prices; E19 ERW table caiso_dam_hub_prices</t>
          </r>
        </is>
      </c>
    </row>
    <row r="18" ht="20" customHeight="1">
      <c r="B18" s="3" t="inlineStr">
        <is>
          <t>(3) ADJACENT NICHES EXCLUDED</t>
        </is>
      </c>
    </row>
    <row r="19">
      <c r="B19" s="5" t="inlineStr">
        <is>
          <t>Niche</t>
        </is>
      </c>
      <c r="C19" s="5" t="inlineStr">
        <is>
          <t>Why it is out of scope</t>
        </is>
      </c>
    </row>
    <row r="20">
      <c r="B20" s="6" t="inlineStr">
        <is>
          <t>Battery cell/pack manufacturing and BMS hardware</t>
        </is>
      </c>
      <c r="C20" s="6" t="inlineStr">
        <is>
          <t>A different capital and technology stack; the cloud-linked BMS optimization software market some reports bundle in is EV-heavy (reached USD 141.8 million in 2025, CAGR 21.3% 2026-2035, with Electric Vehicles the largest category), not grid-scale merchant storage.[S1]</t>
        </is>
      </c>
    </row>
    <row r="21">
      <c r="B21" s="7" t="inlineStr">
        <is>
          <t>Behind-the-meter / residential and C&amp;I demand-charge software</t>
        </is>
      </c>
      <c r="C21" s="7" t="inlineStr">
        <is>
          <t>Different customer and revenue model than merchant, grid-scale, wholesale-market bidding (e.g., Stem's original small-BTM business).</t>
        </is>
      </c>
    </row>
    <row r="22">
      <c r="B22" s="6" t="inlineStr">
        <is>
          <t>DERMS/VPP orchestration of many small assets</t>
        </is>
      </c>
      <c r="C22" s="6" t="inlineStr">
        <is>
          <t>Adjacent but broader than single-site or portfolio grid-scale BESS optimization; AutoGrid's platform smooths fluctuations across renewable supply, EVs, batteries and flexible load rather than optimizing a single merchant battery fleet.[S48]</t>
        </is>
      </c>
    </row>
    <row r="23">
      <c r="B23" s="7" t="inlineStr">
        <is>
          <t>Project development, EPC and interconnection consulting</t>
        </is>
      </c>
      <c r="C23" s="7" t="inlineStr">
        <is>
          <t>Upstream activity, not software.</t>
        </is>
      </c>
    </row>
    <row r="24">
      <c r="B24" s="6" t="inlineStr">
        <is>
          <t>Tolling/offtake and power-marketing businesses that use proprietary software internally but sell energy, not software</t>
        </is>
      </c>
      <c r="C24" s="6" t="inlineStr">
        <is>
          <t>Borderline; Gridmatic is a power marketer with a software edge, not a pure software vendor, managing up to 500MW under a tolling arrangement where it pays a fixed fee and keeps all revenues.[S39]</t>
        </is>
      </c>
    </row>
    <row r="25">
      <c r="B25" s="7" t="inlineStr">
        <is>
          <t>Long-duration/non-lithium storage technology (flow batteries, compressed air)</t>
        </is>
      </c>
      <c r="C25" s="7" t="inlineStr">
        <is>
          <t>A hardware niche, out of scope.</t>
        </is>
      </c>
    </row>
    <row r="26">
      <c r="B26" s="6" t="inlineStr">
        <is>
          <t>Capacity-market and RA-only businesses without merchant energy exposure</t>
        </is>
      </c>
      <c r="C26" s="6" t="inlineStr">
        <is>
          <t>Different risk model than software built around wholesale energy and ancillary-service price arbitrage.</t>
        </is>
      </c>
    </row>
    <row r="27" ht="30" customHeight="1">
      <c r="B27" s="4" t="inlineStr">
        <is>
          <r>
            <rPr>
              <rFont val="Calibri"/>
              <b val="1"/>
              <i val="1"/>
              <color rgb="00808080"/>
              <sz val="10"/>
            </rPr>
            <t xml:space="preserve">Built: </t>
          </r>
          <r>
            <rPr>
              <rFont val="Calibri"/>
              <i val="1"/>
              <color rgb="00808080"/>
              <sz val="10"/>
            </rPr>
            <t>2026-09-28 11:38 UTC by warehouse/thesis/build.py, run 20260928T112703Z; 24 model calls (claude-sonnet-5), 25 web searches, USD 2.4002, 11.5 minutes. Numbers not found in a cited source are written as not confirmed.</t>
          </r>
        </is>
      </c>
    </row>
  </sheetData>
  <mergeCells count="7">
    <mergeCell ref="B18:I18"/>
    <mergeCell ref="B6:I6"/>
    <mergeCell ref="B16:I16"/>
    <mergeCell ref="B5:I5"/>
    <mergeCell ref="B27:I27"/>
    <mergeCell ref="B8:I8"/>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I27"/>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Fundamentals</t>
        </is>
      </c>
    </row>
    <row r="2">
      <c r="B2" s="2" t="inlineStr">
        <is>
          <t>grid-scale battery storage software for merchant operators</t>
        </is>
      </c>
    </row>
    <row r="4" ht="20" customHeight="1">
      <c r="B4" s="3" t="inlineStr">
        <is>
          <t>(1) THE FRAMING NUMBERS</t>
        </is>
      </c>
    </row>
    <row r="5" ht="45" customHeight="1">
      <c r="B5" s="4" t="inlineStr">
        <is>
          <r>
            <rPr>
              <rFont val="Calibri"/>
              <b val="1"/>
              <color rgb="002E2D29"/>
              <sz val="10"/>
            </rPr>
            <t xml:space="preserve">Fact: </t>
          </r>
          <r>
            <rPr>
              <rFont val="Calibri"/>
              <color rgb="002E2D29"/>
              <sz val="10"/>
            </rPr>
            <t>US grid-scale battery storage, the installed base this software optimizes, totaled 76,870 MW of nameplate capacity across 1,293 generator units as of EIA's 860M vintage, with another 67,058.1 MW planned or under construction, an amount equal to an estimated 87% of the operating fleet. (not confirmed: 87)</t>
          </r>
        </is>
      </c>
    </row>
    <row r="6">
      <c r="B6" s="5" t="inlineStr">
        <is>
          <t>Metric</t>
        </is>
      </c>
      <c r="C6" s="5" t="inlineStr">
        <is>
          <t>Value</t>
        </is>
      </c>
      <c r="D6" s="5" t="inlineStr">
        <is>
          <t>Unit</t>
        </is>
      </c>
      <c r="E6" s="5" t="inlineStr">
        <is>
          <t>As of</t>
        </is>
      </c>
      <c r="F6" s="5" t="inlineStr">
        <is>
          <t>Source</t>
        </is>
      </c>
    </row>
    <row r="7">
      <c r="B7" s="6" t="inlineStr">
        <is>
          <t>US operating storage nameplate capacity</t>
        </is>
      </c>
      <c r="C7" s="6" t="inlineStr">
        <is>
          <t>76,870.0</t>
        </is>
      </c>
      <c r="D7" s="6" t="inlineStr">
        <is>
          <t>MW</t>
        </is>
      </c>
      <c r="E7" s="6" t="inlineStr">
        <is>
          <t>2026-08 vintage</t>
        </is>
      </c>
      <c r="F7" s="6" t="inlineStr">
        <is>
          <t>E7 (ERW)</t>
        </is>
      </c>
    </row>
    <row r="8">
      <c r="B8" s="7" t="inlineStr">
        <is>
          <t>US operating storage generator units</t>
        </is>
      </c>
      <c r="C8" s="7" t="inlineStr">
        <is>
          <t>1,293</t>
        </is>
      </c>
      <c r="D8" s="7" t="inlineStr">
        <is>
          <t>units</t>
        </is>
      </c>
      <c r="E8" s="7" t="inlineStr">
        <is>
          <t>2026-08 vintage</t>
        </is>
      </c>
      <c r="F8" s="7" t="inlineStr">
        <is>
          <t>E8 (ERW)</t>
        </is>
      </c>
    </row>
    <row r="9">
      <c r="B9" s="6" t="inlineStr">
        <is>
          <t>California operating storage nameplate capacity</t>
        </is>
      </c>
      <c r="C9" s="6" t="inlineStr">
        <is>
          <t>20,037.3</t>
        </is>
      </c>
      <c r="D9" s="6" t="inlineStr">
        <is>
          <t>MW</t>
        </is>
      </c>
      <c r="E9" s="6" t="inlineStr">
        <is>
          <t>2026-08 vintage</t>
        </is>
      </c>
      <c r="F9" s="6" t="inlineStr">
        <is>
          <t>E9, E36 (ERW)</t>
        </is>
      </c>
    </row>
    <row r="10">
      <c r="B10" s="7" t="inlineStr">
        <is>
          <t>Texas operating storage nameplate capacity</t>
        </is>
      </c>
      <c r="C10" s="7" t="inlineStr">
        <is>
          <t>18,409.5</t>
        </is>
      </c>
      <c r="D10" s="7" t="inlineStr">
        <is>
          <t>MW</t>
        </is>
      </c>
      <c r="E10" s="7" t="inlineStr">
        <is>
          <t>2026-08 vintage</t>
        </is>
      </c>
      <c r="F10" s="7" t="inlineStr">
        <is>
          <t>E9, E35 (ERW)</t>
        </is>
      </c>
    </row>
    <row r="11">
      <c r="B11" s="6" t="inlineStr">
        <is>
          <t>US planned/under-construction storage nameplate capacity</t>
        </is>
      </c>
      <c r="C11" s="6" t="inlineStr">
        <is>
          <t>67,058.1</t>
        </is>
      </c>
      <c r="D11" s="6" t="inlineStr">
        <is>
          <t>MW</t>
        </is>
      </c>
      <c r="E11" s="6" t="inlineStr">
        <is>
          <t>2026-08 vintage</t>
        </is>
      </c>
      <c r="F11" s="6" t="inlineStr">
        <is>
          <t>E12 (ERW)</t>
        </is>
      </c>
    </row>
    <row r="12">
      <c r="B12" s="7" t="inlineStr">
        <is>
          <t>planned pipeline as share of operating fleet</t>
        </is>
      </c>
      <c r="C12" s="7" t="inlineStr">
        <is>
          <t>not confirmed (estimate: 67,058.1 / 76,870.0 = 0.872, i.e. about 87% (not confirmed: 0.872, 87))</t>
        </is>
      </c>
      <c r="D12" s="7" t="inlineStr">
        <is>
          <t>percent</t>
        </is>
      </c>
      <c r="E12" s="7" t="inlineStr">
        <is>
          <t>2026-08 vintage</t>
        </is>
      </c>
      <c r="F12" s="7" t="inlineStr">
        <is>
          <t>E7, E12 (ERW)</t>
        </is>
      </c>
    </row>
    <row r="13">
      <c r="B13" s="6" t="inlineStr">
        <is>
          <t>CAISO battery fleet output, peak</t>
        </is>
      </c>
      <c r="C13" s="6" t="inlineStr">
        <is>
          <t>13,441.0</t>
        </is>
      </c>
      <c r="D13" s="6" t="inlineStr">
        <is>
          <t>MW</t>
        </is>
      </c>
      <c r="E13" s="6" t="inlineStr">
        <is>
          <t>2026-08-19T03:10:00Z</t>
        </is>
      </c>
      <c r="F13" s="6" t="inlineStr">
        <is>
          <t>E15, E37 (ERW)</t>
        </is>
      </c>
    </row>
    <row r="14">
      <c r="B14" s="7" t="inlineStr">
        <is>
          <t>CAISO day-ahead hub price, minimum</t>
        </is>
      </c>
      <c r="C14" s="7" t="inlineStr">
        <is>
          <t>-0.61503</t>
        </is>
      </c>
      <c r="D14" s="7" t="inlineStr">
        <is>
          <t>USD/MWh</t>
        </is>
      </c>
      <c r="E14" s="7" t="inlineStr">
        <is>
          <t>2026-09-19T16:00:00Z, TH_ZP26_GEN-APND</t>
        </is>
      </c>
      <c r="F14" s="7" t="inlineStr">
        <is>
          <t>E18 (ERW)</t>
        </is>
      </c>
    </row>
    <row r="15">
      <c r="B15" s="6" t="inlineStr">
        <is>
          <t>CAISO day-ahead hub price, maximum</t>
        </is>
      </c>
      <c r="C15" s="6" t="inlineStr">
        <is>
          <t>201.0</t>
        </is>
      </c>
      <c r="D15" s="6" t="inlineStr">
        <is>
          <t>USD/MWh</t>
        </is>
      </c>
      <c r="E15" s="6" t="inlineStr">
        <is>
          <t>2026-09-10T01:00:00Z, TH_NP15_GEN-APND</t>
        </is>
      </c>
      <c r="F15" s="6" t="inlineStr">
        <is>
          <t>E19 (ERW)</t>
        </is>
      </c>
    </row>
    <row r="16">
      <c r="B16" s="7" t="inlineStr">
        <is>
          <t>CAISO solar curtailment, year to date</t>
        </is>
      </c>
      <c r="C16" s="7" t="inlineStr">
        <is>
          <t>4,758,672.341</t>
        </is>
      </c>
      <c r="D16" s="7" t="inlineStr">
        <is>
          <t>MWh</t>
        </is>
      </c>
      <c r="E16" s="7" t="inlineStr">
        <is>
          <t>2026-01-01 to 2026-09-24</t>
        </is>
      </c>
      <c r="F16" s="7" t="inlineStr">
        <is>
          <t>E17 (ERW)</t>
        </is>
      </c>
    </row>
    <row r="17">
      <c r="B17" s="6" t="inlineStr">
        <is>
          <t>CAISO interconnection queue, storage-only projects</t>
        </is>
      </c>
      <c r="C17" s="6" t="inlineStr">
        <is>
          <t>485</t>
        </is>
      </c>
      <c r="D17" s="6" t="inlineStr">
        <is>
          <t>projects</t>
        </is>
      </c>
      <c r="E17" s="6" t="inlineStr">
        <is>
          <t>2026-09-26</t>
        </is>
      </c>
      <c r="F17" s="6" t="inlineStr">
        <is>
          <t>E6 (ERW)</t>
        </is>
      </c>
    </row>
    <row r="18">
      <c r="B18" s="7" t="inlineStr">
        <is>
          <t>CAISO interconnection queue, withdrawn status</t>
        </is>
      </c>
      <c r="C18" s="7" t="inlineStr">
        <is>
          <t>1,764</t>
        </is>
      </c>
      <c r="D18" s="7" t="inlineStr">
        <is>
          <t>projects</t>
        </is>
      </c>
      <c r="E18" s="7" t="inlineStr">
        <is>
          <t>2026-09-26</t>
        </is>
      </c>
      <c r="F18" s="7" t="inlineStr">
        <is>
          <t>E6 (ERW)</t>
        </is>
      </c>
    </row>
    <row r="19">
      <c r="B19" s="6" t="inlineStr">
        <is>
          <t>Global Energy Storage Software Market size, 2025</t>
        </is>
      </c>
      <c r="C19" s="6" t="inlineStr">
        <is>
          <t>8.99</t>
        </is>
      </c>
      <c r="D19" s="6" t="inlineStr">
        <is>
          <t>USD Billion</t>
        </is>
      </c>
      <c r="E19" s="6" t="inlineStr">
        <is>
          <t>2025</t>
        </is>
      </c>
      <c r="F19" s="6" t="inlineStr">
        <is>
          <t>S8</t>
        </is>
      </c>
    </row>
    <row r="20">
      <c r="B20" s="7" t="inlineStr">
        <is>
          <t>Fluence FY2025 revenue</t>
        </is>
      </c>
      <c r="C20" s="7" t="inlineStr">
        <is>
          <t>2.3</t>
        </is>
      </c>
      <c r="D20" s="7" t="inlineStr">
        <is>
          <t>USD Billion</t>
        </is>
      </c>
      <c r="E20" s="7" t="inlineStr">
        <is>
          <t>fiscal year ended 2025-09-30</t>
        </is>
      </c>
      <c r="F20" s="7" t="inlineStr">
        <is>
          <t>S12, S144</t>
        </is>
      </c>
    </row>
    <row r="21">
      <c r="B21" s="6" t="inlineStr">
        <is>
          <t>Fluence Mosaic assets under management</t>
        </is>
      </c>
      <c r="C21" s="6" t="inlineStr">
        <is>
          <t>10</t>
        </is>
      </c>
      <c r="D21" s="6" t="inlineStr">
        <is>
          <t>GW</t>
        </is>
      </c>
      <c r="E21" s="6" t="inlineStr">
        <is>
          <t>not disclosed</t>
        </is>
      </c>
      <c r="F21" s="6" t="inlineStr">
        <is>
          <t>S57</t>
        </is>
      </c>
    </row>
    <row r="22">
      <c r="B22" s="7" t="inlineStr">
        <is>
          <t>Stem storage under management</t>
        </is>
      </c>
      <c r="C22" s="7" t="inlineStr">
        <is>
          <t>nearly 2</t>
        </is>
      </c>
      <c r="D22" s="7" t="inlineStr">
        <is>
          <t>GWh</t>
        </is>
      </c>
      <c r="E22" s="7" t="inlineStr">
        <is>
          <t>2025</t>
        </is>
      </c>
      <c r="F22" s="7" t="inlineStr">
        <is>
          <t>S35</t>
        </is>
      </c>
    </row>
    <row r="23">
      <c r="B23" s="6" t="inlineStr">
        <is>
          <t>GridBeyond assets under management, including battery storage</t>
        </is>
      </c>
      <c r="C23" s="6" t="inlineStr">
        <is>
          <t>more than 2,600 (of which more than 500 battery storage)</t>
        </is>
      </c>
      <c r="D23" s="6" t="inlineStr">
        <is>
          <t>MW</t>
        </is>
      </c>
      <c r="E23" s="6" t="inlineStr">
        <is>
          <t>2024 release</t>
        </is>
      </c>
      <c r="F23" s="6" t="inlineStr">
        <is>
          <t>S75</t>
        </is>
      </c>
    </row>
    <row r="24">
      <c r="B24" s="7" t="inlineStr">
        <is>
          <t>Gridmatic energy storage fund, cumulative capital commitments</t>
        </is>
      </c>
      <c r="C24" s="7" t="inlineStr">
        <is>
          <t>50</t>
        </is>
      </c>
      <c r="D24" s="7" t="inlineStr">
        <is>
          <t>USD million</t>
        </is>
      </c>
      <c r="E24" s="7" t="inlineStr">
        <is>
          <t>2023-11-15</t>
        </is>
      </c>
      <c r="F24" s="7" t="inlineStr">
        <is>
          <t>S37, S39</t>
        </is>
      </c>
    </row>
    <row r="25">
      <c r="B25" s="6" t="inlineStr">
        <is>
          <t>FlexGen Series C round</t>
        </is>
      </c>
      <c r="C25" s="6" t="inlineStr">
        <is>
          <t>100</t>
        </is>
      </c>
      <c r="D25" s="6" t="inlineStr">
        <is>
          <t>USD million</t>
        </is>
      </c>
      <c r="E25" s="6" t="inlineStr">
        <is>
          <t>2022-07-19</t>
        </is>
      </c>
      <c r="F25" s="6" t="inlineStr">
        <is>
          <t>S140</t>
        </is>
      </c>
    </row>
    <row r="26">
      <c r="B26" s="7" t="inlineStr">
        <is>
          <t>Tyba Series A round, total funding since inception</t>
        </is>
      </c>
      <c r="C26" s="7" t="inlineStr">
        <is>
          <t>13.9 (total funding 18.15)</t>
        </is>
      </c>
      <c r="D26" s="7" t="inlineStr">
        <is>
          <t>USD million</t>
        </is>
      </c>
      <c r="E26" s="7" t="inlineStr">
        <is>
          <t>2025-02-06</t>
        </is>
      </c>
      <c r="F26" s="7" t="inlineStr">
        <is>
          <t>S91</t>
        </is>
      </c>
    </row>
    <row r="27" ht="150" customHeight="1">
      <c r="B27" s="4" t="inlineStr">
        <is>
          <r>
            <rPr>
              <rFont val="Calibri"/>
              <b val="1"/>
              <i val="1"/>
              <color rgb="00808080"/>
              <sz val="10"/>
            </rPr>
            <t xml:space="preserve">Source(s): </t>
          </r>
          <r>
            <rPr>
              <rFont val="Calibri"/>
              <i val="1"/>
              <color rgb="00808080"/>
              <sz val="10"/>
            </rPr>
            <t xml:space="preserve">E7 ERW table eia860m_operating_generators; E8 ERW table eia860m_operating_generators; E9 ERW table eia860m_operating_generators; E36 ERW table eia860m_operating_generators; E35 ERW table eia860m_operating_generators; E12 ERW table eia860m_planned_generators; E15 ERW table caiso_battery_storage; E37 ERW table caiso_battery_storage; E18 ERW table caiso_dam_hub_prices; E19 ERW table caiso_dam_hub_prices; E17 ERW table caiso_curtailment_daily; E6 ERW table caiso_interconnection_queue; S8 Energy Storage Software Market Growth 2026-2035; S12 Fluence 'expects to meet FEOC compliance by regulatory deadl; S144 Fluence Energy, Inc. - Form 8-K - FY2025; S57 US battery energy storage operators and optimizers - and how; S35 Stem shifts to software-led model after restructuring | STEM; S75 AI-driven optimiser GridBeyond raises €52 million from inves; S37 Gridmatic Portfolio Investments, Gridmatic Funds, Gridmatic ; S39 Gridmatic US$50 million fund to manage battery storage proje; S140 FlexGen Announces $100 Million Series C to Power Continued G; S91 Tyba raises $13.9M Series A to improve the profitability of </t>
          </r>
        </is>
      </c>
    </row>
  </sheetData>
  <mergeCells count="3">
    <mergeCell ref="B27:I27"/>
    <mergeCell ref="B5:I5"/>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133"/>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Trends</t>
        </is>
      </c>
    </row>
    <row r="2">
      <c r="B2" s="2" t="inlineStr">
        <is>
          <t>grid-scale battery storage software for merchant operators</t>
        </is>
      </c>
    </row>
    <row r="4" ht="20" customHeight="1">
      <c r="B4" s="3" t="inlineStr">
        <is>
          <t>(1) OPERATING STORAGE FLEET VS. THE PIPELINE BEHIND IT</t>
        </is>
      </c>
    </row>
    <row r="5" ht="45" customHeight="1">
      <c r="B5" s="4" t="inlineStr">
        <is>
          <r>
            <rPr>
              <rFont val="Calibri"/>
              <b val="1"/>
              <color rgb="002E2D29"/>
              <sz val="10"/>
            </rPr>
            <t xml:space="preserve">Fact: </t>
          </r>
          <r>
            <rPr>
              <rFont val="Calibri"/>
              <color rgb="002E2D29"/>
              <sz val="10"/>
            </rPr>
            <t>US storage-technology generators totaled 76,870 MW of nameplate capacity across 1,293 units as of EIA's Form 860M vintage the warehouse holds (eia860m_operating_generators). A further 67,058.1 MW across 493 planned or under-construction units sits behind it, equal to an estimate of 87% of the operating base (67,058.1 / 76,870.0). (not confirmed: 87)</t>
          </r>
        </is>
      </c>
    </row>
    <row r="6">
      <c r="B6" s="5" t="inlineStr">
        <is>
          <t>Status</t>
        </is>
      </c>
      <c r="C6" s="5" t="inlineStr">
        <is>
          <t>Nameplate MW</t>
        </is>
      </c>
      <c r="D6" s="5" t="inlineStr">
        <is>
          <t>Generators</t>
        </is>
      </c>
    </row>
    <row r="7">
      <c r="B7" s="6" t="inlineStr">
        <is>
          <t>Operating</t>
        </is>
      </c>
      <c r="C7" s="6" t="n">
        <v>76870</v>
      </c>
      <c r="D7" s="6" t="inlineStr">
        <is>
          <t>1293</t>
        </is>
      </c>
    </row>
    <row r="8">
      <c r="B8" s="7" t="inlineStr">
        <is>
          <t>Planned / under construction</t>
        </is>
      </c>
      <c r="C8" s="7" t="n">
        <v>67058.10000000001</v>
      </c>
      <c r="D8" s="7" t="inlineStr">
        <is>
          <t>493</t>
        </is>
      </c>
    </row>
    <row r="24" ht="15" customHeight="1">
      <c r="B24" s="4" t="inlineStr">
        <is>
          <r>
            <rPr>
              <rFont val="Calibri"/>
              <b val="1"/>
              <i val="1"/>
              <color rgb="00808080"/>
              <sz val="10"/>
            </rPr>
            <t xml:space="preserve">Source(s): </t>
          </r>
          <r>
            <rPr>
              <rFont val="Calibri"/>
              <i val="1"/>
              <color rgb="00808080"/>
              <sz val="10"/>
            </rPr>
            <t>E7 ERW table eia860m_operating_generators; E12 ERW table eia860m_planned_generators</t>
          </r>
        </is>
      </c>
    </row>
    <row r="26" ht="20" customHeight="1">
      <c r="B26" s="3" t="inlineStr">
        <is>
          <t>(2) CALIFORNIA AND TEXAS HOLD HALF THE OPERATING STORAGE FLEET</t>
        </is>
      </c>
    </row>
    <row r="27" ht="45" customHeight="1">
      <c r="B27" s="4" t="inlineStr">
        <is>
          <r>
            <rPr>
              <rFont val="Calibri"/>
              <b val="1"/>
              <color rgb="002E2D29"/>
              <sz val="10"/>
            </rPr>
            <t xml:space="preserve">Fact: </t>
          </r>
          <r>
            <rPr>
              <rFont val="Calibri"/>
              <color rgb="002E2D29"/>
              <sz val="10"/>
            </rPr>
            <t>California storage nameplate capacity is 20,037.3 MW across 338 generators and Texas storage nameplate capacity is 18,409.5 MW across 262 generators (eia860m_operating_generators), an estimated 26% and 24% respectively of the 76,870 MW US total. (not confirmed: 24, 76870)</t>
          </r>
        </is>
      </c>
    </row>
    <row r="28">
      <c r="B28" s="5" t="inlineStr">
        <is>
          <t>State</t>
        </is>
      </c>
      <c r="C28" s="5" t="inlineStr">
        <is>
          <t>Nameplate MW</t>
        </is>
      </c>
      <c r="D28" s="5" t="inlineStr">
        <is>
          <t>Generators</t>
        </is>
      </c>
    </row>
    <row r="29">
      <c r="B29" s="6" t="inlineStr">
        <is>
          <t>California</t>
        </is>
      </c>
      <c r="C29" s="6" t="n">
        <v>20037.3</v>
      </c>
      <c r="D29" s="6" t="inlineStr">
        <is>
          <t>338</t>
        </is>
      </c>
    </row>
    <row r="30">
      <c r="B30" s="7" t="inlineStr">
        <is>
          <t>Texas</t>
        </is>
      </c>
      <c r="C30" s="7" t="n">
        <v>18409.5</v>
      </c>
      <c r="D30" s="7" t="inlineStr">
        <is>
          <t>262</t>
        </is>
      </c>
    </row>
    <row r="46" ht="30" customHeight="1">
      <c r="B46" s="4" t="inlineStr">
        <is>
          <r>
            <rPr>
              <rFont val="Calibri"/>
              <b val="1"/>
              <i val="1"/>
              <color rgb="00808080"/>
              <sz val="10"/>
            </rPr>
            <t xml:space="preserve">Source(s): </t>
          </r>
          <r>
            <rPr>
              <rFont val="Calibri"/>
              <i val="1"/>
              <color rgb="00808080"/>
              <sz val="10"/>
            </rPr>
            <t>E9 ERW table eia860m_operating_generators; E35 ERW table eia860m_operating_generators; E36 ERW table eia860m_operating_generators</t>
          </r>
        </is>
      </c>
    </row>
    <row r="48" ht="20" customHeight="1">
      <c r="B48" s="3" t="inlineStr">
        <is>
          <t>(3) CAISO DAY-AHEAD PRICES SWING FROM NEGATIVE TO OVER 200 USD/MWH</t>
        </is>
      </c>
    </row>
    <row r="49" ht="45" customHeight="1">
      <c r="B49" s="4" t="inlineStr">
        <is>
          <r>
            <rPr>
              <rFont val="Calibri"/>
              <b val="1"/>
              <color rgb="002E2D29"/>
              <sz val="10"/>
            </rPr>
            <t xml:space="preserve">Fact: </t>
          </r>
          <r>
            <rPr>
              <rFont val="Calibri"/>
              <color rgb="002E2D29"/>
              <sz val="10"/>
            </rPr>
            <t>Day-ahead hub prices in the warehouse ranged from -0.615 USD/MWh at TH_ZP26_GEN-APND on 2026-09-19 to 201.00 USD/MWh at TH_NP15_GEN-APND on 2026-09-10 (caiso_dam_hub_prices) over a roughly five-week window, the spread that merchant storage optimization software is built to capture.</t>
          </r>
        </is>
      </c>
    </row>
    <row r="50">
      <c r="B50" s="5" t="inlineStr">
        <is>
          <t>Hub</t>
        </is>
      </c>
      <c r="C50" s="5" t="inlineStr">
        <is>
          <t>Price (USD/MWh)</t>
        </is>
      </c>
      <c r="D50" s="5" t="inlineStr">
        <is>
          <t>Date</t>
        </is>
      </c>
    </row>
    <row r="51">
      <c r="B51" s="6" t="inlineStr">
        <is>
          <t>TH_ZP26_GEN-APND</t>
        </is>
      </c>
      <c r="C51" s="6" t="n">
        <v>-0.615</v>
      </c>
      <c r="D51" s="6" t="inlineStr">
        <is>
          <t>2026-09-19</t>
        </is>
      </c>
    </row>
    <row r="52">
      <c r="B52" s="7" t="inlineStr">
        <is>
          <t>TH_NP15_GEN-APND</t>
        </is>
      </c>
      <c r="C52" s="7" t="n">
        <v>201</v>
      </c>
      <c r="D52" s="7" t="inlineStr">
        <is>
          <t>2026-09-10</t>
        </is>
      </c>
    </row>
    <row r="92" ht="75" customHeight="1">
      <c r="B92" s="4" t="inlineStr">
        <is>
          <r>
            <rPr>
              <rFont val="Calibri"/>
              <b val="1"/>
              <i val="1"/>
              <color rgb="00808080"/>
              <sz val="10"/>
            </rPr>
            <t xml:space="preserve">Chart: </t>
          </r>
          <r>
            <rPr>
              <rFont val="Calibri"/>
              <i val="1"/>
              <color rgb="00808080"/>
              <sz val="10"/>
            </rPr>
            <t>ERW Automated Analysis template negative_price_hours. Source: ERCOT via the Energy Research Warehouse (ERW), tables ercot_rtm_hub_prices, ercot_rtm_hub_prices_2015, ercot_rtm_hub_prices_2016, ercot_rtm_hub_prices_2017, ercot_rtm_hub_prices_2018, ercot_rtm_hub_prices_2019, ercot_rtm_hub_prices_2020, ercot_rtm_hub_prices_2021, ercot_rtm_hub_prices_2022, ercot_rtm_hub_prices_2023, ercot_rtm_hub_prices_2024, ercot_rtm_hub_prices_2025, ercot_rtm_hub_prices_2026; data retrieved to 2026-09-28.</t>
          </r>
        </is>
      </c>
    </row>
    <row r="93" ht="15" customHeight="1">
      <c r="B93" s="4" t="inlineStr">
        <is>
          <r>
            <rPr>
              <rFont val="Calibri"/>
              <b val="1"/>
              <i val="1"/>
              <color rgb="00808080"/>
              <sz val="10"/>
            </rPr>
            <t xml:space="preserve">Source(s): </t>
          </r>
          <r>
            <rPr>
              <rFont val="Calibri"/>
              <i val="1"/>
              <color rgb="00808080"/>
              <sz val="10"/>
            </rPr>
            <t>E18 ERW table caiso_dam_hub_prices; E19 ERW table caiso_dam_hub_prices</t>
          </r>
        </is>
      </c>
    </row>
    <row r="95" ht="20" customHeight="1">
      <c r="B95" s="3" t="inlineStr">
        <is>
          <t>(4) CURTAILED SOLAR IS THE FREE ENERGY BATTERIES COULD ARBITRAGE</t>
        </is>
      </c>
    </row>
    <row r="96" ht="45" customHeight="1">
      <c r="B96" s="4" t="inlineStr">
        <is>
          <r>
            <rPr>
              <rFont val="Calibri"/>
              <b val="1"/>
              <color rgb="002E2D29"/>
              <sz val="10"/>
            </rPr>
            <t xml:space="preserve">Fact: </t>
          </r>
          <r>
            <rPr>
              <rFont val="Calibri"/>
              <color rgb="002E2D29"/>
              <sz val="10"/>
            </rPr>
            <t>CAISO curtailed 4,758,672.341 MWh of solar from 2026-01-01 through 2026-09-24 (caiso_curtailment_daily), a volume of low-price or zero-price energy that battery dispatch software can capture if it charges correctly during curtailment hours.</t>
          </r>
        </is>
      </c>
    </row>
    <row r="97">
      <c r="B97" s="5" t="inlineStr">
        <is>
          <t>Metric</t>
        </is>
      </c>
      <c r="C97" s="5" t="inlineStr">
        <is>
          <t>MWh</t>
        </is>
      </c>
    </row>
    <row r="98">
      <c r="B98" s="6" t="inlineStr">
        <is>
          <t>Solar curtailed, 2026-01-01 to 2026-09-24</t>
        </is>
      </c>
      <c r="C98" s="6" t="n">
        <v>4758672.341</v>
      </c>
    </row>
    <row r="123" ht="30" customHeight="1">
      <c r="B123" s="4" t="inlineStr">
        <is>
          <r>
            <rPr>
              <rFont val="Calibri"/>
              <b val="1"/>
              <i val="1"/>
              <color rgb="00808080"/>
              <sz val="10"/>
            </rPr>
            <t xml:space="preserve">Chart: </t>
          </r>
          <r>
            <rPr>
              <rFont val="Calibri"/>
              <i val="1"/>
              <color rgb="00808080"/>
              <sz val="10"/>
            </rPr>
            <t>ERW Automated Analysis template curtailment_midday. Source: CAISO via the Energy Research Warehouse (ERW), tables caiso_curtailment_daily, caiso_rtm_hub_prices; data retrieved to 2026-09-28.</t>
          </r>
        </is>
      </c>
    </row>
    <row r="124" ht="15" customHeight="1">
      <c r="B124" s="4" t="inlineStr">
        <is>
          <r>
            <rPr>
              <rFont val="Calibri"/>
              <b val="1"/>
              <i val="1"/>
              <color rgb="00808080"/>
              <sz val="10"/>
            </rPr>
            <t xml:space="preserve">Source(s): </t>
          </r>
          <r>
            <rPr>
              <rFont val="Calibri"/>
              <i val="1"/>
              <color rgb="00808080"/>
              <sz val="10"/>
            </rPr>
            <t>E17 ERW table caiso_curtailment_daily</t>
          </r>
        </is>
      </c>
    </row>
    <row r="126" ht="20" customHeight="1">
      <c r="B126" s="3" t="inlineStr">
        <is>
          <t>(5) NO OPTIMIZATION VENDOR COVERS A MAJORITY OF THE INSTALLED FLEET</t>
        </is>
      </c>
    </row>
    <row r="127" ht="60" customHeight="1">
      <c r="B127" s="4" t="inlineStr">
        <is>
          <r>
            <rPr>
              <rFont val="Calibri"/>
              <b val="1"/>
              <color rgb="002E2D29"/>
              <sz val="10"/>
            </rPr>
            <t xml:space="preserve">Fact: </t>
          </r>
          <r>
            <rPr>
              <rFont val="Calibri"/>
              <color rgb="002E2D29"/>
              <sz val="10"/>
            </rPr>
            <t>Against 76,870 MW of operating US storage (eia860m_operating_generators), the largest disclosed platform footprints are far smaller: Fluence's Mosaic has over 10GW of assets under management [S57], Stem has nearly 2 GWh of storage under management [S35], Gridmatic has inked 300 MW / 1 GWh under management [S90], and GridBeyond has more than 2,600MW of assets under management, including more than 500MW of battery storage [S75].</t>
          </r>
        </is>
      </c>
    </row>
    <row r="128">
      <c r="B128" s="5" t="inlineStr">
        <is>
          <t>Vendor</t>
        </is>
      </c>
      <c r="C128" s="5" t="inlineStr">
        <is>
          <t>Disclosed assets under management</t>
        </is>
      </c>
    </row>
    <row r="129">
      <c r="B129" s="6" t="inlineStr">
        <is>
          <t>Fluence Mosaic</t>
        </is>
      </c>
      <c r="C129" s="6" t="inlineStr">
        <is>
          <t>over 10GW</t>
        </is>
      </c>
    </row>
    <row r="130">
      <c r="B130" s="7" t="inlineStr">
        <is>
          <t>GridBeyond</t>
        </is>
      </c>
      <c r="C130" s="7" t="inlineStr">
        <is>
          <t>2,600MW total, 500MW battery storage</t>
        </is>
      </c>
    </row>
    <row r="131">
      <c r="B131" s="6" t="inlineStr">
        <is>
          <t>Gridmatic</t>
        </is>
      </c>
      <c r="C131" s="6" t="inlineStr">
        <is>
          <t>300 MW / 1 GWh</t>
        </is>
      </c>
    </row>
    <row r="132">
      <c r="B132" s="7" t="inlineStr">
        <is>
          <t>Stem</t>
        </is>
      </c>
      <c r="C132" s="7" t="inlineStr">
        <is>
          <t>nearly 2 GWh</t>
        </is>
      </c>
    </row>
    <row r="133" ht="45" customHeight="1">
      <c r="B133" s="4" t="inlineStr">
        <is>
          <r>
            <rPr>
              <rFont val="Calibri"/>
              <b val="1"/>
              <i val="1"/>
              <color rgb="00808080"/>
              <sz val="10"/>
            </rPr>
            <t xml:space="preserve">Source(s): </t>
          </r>
          <r>
            <rPr>
              <rFont val="Calibri"/>
              <i val="1"/>
              <color rgb="00808080"/>
              <sz val="10"/>
            </rPr>
            <t>S57 US battery energy storage operators and optimizers - and how; S35 Stem shifts to software-led model after restructuring | STEM; S90 Gridmatic Surpasses 1GWh of Energy Storage Under Management ; S75 AI-driven optimiser GridBeyond raises €52 million from inves; E7 ERW table eia860m_operating_generators</t>
          </r>
        </is>
      </c>
    </row>
  </sheetData>
  <mergeCells count="17">
    <mergeCell ref="B96:I96"/>
    <mergeCell ref="B92:I92"/>
    <mergeCell ref="B48:I48"/>
    <mergeCell ref="B124:I124"/>
    <mergeCell ref="B24:I24"/>
    <mergeCell ref="B95:I95"/>
    <mergeCell ref="B133:I133"/>
    <mergeCell ref="B126:I126"/>
    <mergeCell ref="B123:I123"/>
    <mergeCell ref="B5:I5"/>
    <mergeCell ref="B93:I93"/>
    <mergeCell ref="B46:I46"/>
    <mergeCell ref="B27:I27"/>
    <mergeCell ref="B49:I49"/>
    <mergeCell ref="B4:I4"/>
    <mergeCell ref="B127:I127"/>
    <mergeCell ref="B26:I26"/>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1:J16"/>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Landscape</t>
        </is>
      </c>
    </row>
    <row r="2">
      <c r="B2" s="2" t="inlineStr">
        <is>
          <t>grid-scale battery storage software for merchant operators</t>
        </is>
      </c>
    </row>
    <row r="4" ht="20" customHeight="1">
      <c r="B4" s="3" t="inlineStr">
        <is>
          <t>(1) COMPANIES</t>
        </is>
      </c>
    </row>
    <row r="5" ht="30" customHeight="1">
      <c r="B5" s="4" t="inlineStr">
        <is>
          <r>
            <rPr>
              <rFont val="Calibri"/>
              <b val="1"/>
              <color rgb="002E2D29"/>
              <sz val="10"/>
            </rPr>
            <t xml:space="preserve">Fact: </t>
          </r>
          <r>
            <rPr>
              <rFont val="Calibri"/>
              <color rgb="002E2D29"/>
              <sz val="10"/>
            </rPr>
            <t>CAISO curtailed 4,758,672 MWh of solar between 2026-01-01 and 2026-09-24, nine months of low-price energy that battery-optimization software is built to arbitrage.</t>
          </r>
        </is>
      </c>
    </row>
    <row r="6">
      <c r="B6" s="5" t="inlineStr">
        <is>
          <t>Company</t>
        </is>
      </c>
      <c r="C6" s="5" t="inlineStr">
        <is>
          <t>What it does</t>
        </is>
      </c>
      <c r="D6" s="5" t="inlineStr">
        <is>
          <t>Founders</t>
        </is>
      </c>
      <c r="E6" s="5" t="inlineStr">
        <is>
          <t>Stage</t>
        </is>
      </c>
      <c r="F6" s="5" t="inlineStr">
        <is>
          <t>Raised</t>
        </is>
      </c>
      <c r="G6" s="5" t="inlineStr">
        <is>
          <t>Location</t>
        </is>
      </c>
      <c r="H6" s="5" t="inlineStr">
        <is>
          <t>Signal</t>
        </is>
      </c>
      <c r="I6" s="5" t="inlineStr">
        <is>
          <t>Sources</t>
        </is>
      </c>
      <c r="J6" s="5" t="inlineStr">
        <is>
          <t>Confidence (0 to 100)</t>
        </is>
      </c>
    </row>
    <row r="7">
      <c r="B7" s="6" t="inlineStr">
        <is>
          <t>Tyba (Tyba Energy Inc.)</t>
        </is>
      </c>
      <c r="C7" s="6" t="inlineStr">
        <is>
          <t>AI-powered, end-to-end simulation and operating platform for developing, managing, and optimizing standalone and hybrid energy storage projects.</t>
        </is>
      </c>
      <c r="D7" s="6" t="inlineStr">
        <is>
          <t>Tyler Nisonoff, Michael Baker and Tom Thunell, founded 2022</t>
        </is>
      </c>
      <c r="E7" s="6" t="inlineStr">
        <is>
          <t>Series A</t>
        </is>
      </c>
      <c r="F7" s="6" t="inlineStr">
        <is>
          <t>$13.9 million Series A, bringing total funding to $18.15 million</t>
        </is>
      </c>
      <c r="G7" s="6" t="inlineStr">
        <is>
          <t>San Francisco, California</t>
        </is>
      </c>
      <c r="H7" s="6" t="inlineStr">
        <is>
          <t>Works with TotalEnergies and supports operations of over 1GWh of storage assets in Texas and California.</t>
        </is>
      </c>
      <c r="I7" s="6" t="inlineStr">
        <is>
          <t>S91, S92, S93, S95, S97, S98</t>
        </is>
      </c>
      <c r="J7" s="6" t="inlineStr">
        <is>
          <t>100: 3 independent sources, latest 2025; stage confirmed and raised confirmed by a primary source</t>
        </is>
      </c>
    </row>
    <row r="8">
      <c r="B8" s="7" t="inlineStr">
        <is>
          <t>Habitat Energy</t>
        </is>
      </c>
      <c r="C8" s="7" t="inlineStr">
        <is>
          <t>Developer of an optimization and trading platform for grid-scale battery storage, integrating into wholesale and balancing markets.</t>
        </is>
      </c>
      <c r="D8" s="7" t="inlineStr">
        <is>
          <t>not disclosed</t>
        </is>
      </c>
      <c r="E8" s="7" t="inlineStr">
        <is>
          <t>not disclosed</t>
        </is>
      </c>
      <c r="F8" s="7" t="inlineStr">
        <is>
          <t>not disclosed</t>
        </is>
      </c>
      <c r="G8" s="7" t="inlineStr">
        <is>
          <t>Oxford, Oxfordshire, United Kingdom</t>
        </is>
      </c>
      <c r="H8" s="7" t="inlineStr">
        <is>
          <t>US expansion via partnership with Glidepath Power Solutions to optimize an initial 60MW BESS portfolio in ERCOT, backed by an 18-person US-support team.</t>
        </is>
      </c>
      <c r="I8" s="7" t="inlineStr">
        <is>
          <t>S19, S20, S22, S23, S25, S71</t>
        </is>
      </c>
      <c r="J8" s="7" t="inlineStr">
        <is>
          <t>60: 3 independent sources, latest 2022; stage not confirmed and raised not confirmed by a primary source</t>
        </is>
      </c>
    </row>
    <row r="9">
      <c r="B9" s="6" t="inlineStr">
        <is>
          <t>GridBeyond</t>
        </is>
      </c>
      <c r="C9" s="6" t="inlineStr">
        <is>
          <t>Management software for battery storage and renewable generation, covering AI forecasting, energy arbitrage, distribution network support and capacity market participation.</t>
        </is>
      </c>
      <c r="D9" s="6" t="inlineStr">
        <is>
          <t>Michael Phelan and Padraig Curran, founded 2007 (one company release states 2010)</t>
        </is>
      </c>
      <c r="E9" s="6" t="inlineStr">
        <is>
          <t>Series D</t>
        </is>
      </c>
      <c r="F9" s="6" t="inlineStr">
        <is>
          <t>$12 million equity round (Series D); total funding of $89.9M across 12 rounds to date</t>
        </is>
      </c>
      <c r="G9" s="6" t="inlineStr">
        <is>
          <t>Dublin, Ireland</t>
        </is>
      </c>
      <c r="H9" s="6" t="inlineStr">
        <is>
          <t>More than 2,600MW of assets under management, including more than 500MW of battery storage; Gore Street Capital selected GridBeyond to optimize a 200MW California system.</t>
        </is>
      </c>
      <c r="I9" s="6" t="inlineStr">
        <is>
          <t>S73, S75, S78, S81</t>
        </is>
      </c>
      <c r="J9" s="6" t="inlineStr">
        <is>
          <t>100: 3 independent sources, latest 2025; stage confirmed and raised confirmed by a primary source</t>
        </is>
      </c>
    </row>
    <row r="10">
      <c r="B10" s="7" t="inlineStr">
        <is>
          <t>Gridmatic</t>
        </is>
      </c>
      <c r="C10" s="7" t="inlineStr">
        <is>
          <t>AI-enabled power marketer delivering optimization of renewables and grid-scale batteries.</t>
        </is>
      </c>
      <c r="D10" s="7" t="inlineStr">
        <is>
          <t>Matt Wytock, founded 2016</t>
        </is>
      </c>
      <c r="E10" s="7" t="inlineStr">
        <is>
          <t>private, dedicated storage fund (not a conventional VC round)</t>
        </is>
      </c>
      <c r="F10" s="7" t="inlineStr">
        <is>
          <t>$50 million cumulative capital commitments, second closing of its first energy storage fund</t>
        </is>
      </c>
      <c r="G10" s="7" t="inlineStr">
        <is>
          <t>Cupertino, California</t>
        </is>
      </c>
      <c r="H10" s="7" t="inlineStr">
        <is>
          <t>Fund earmarked to manage up to 500 MW of battery capacity in ERCOT and CAISO under tolling arrangements; cumulatively 300 MW / 1GWh under management as of Dec 2024.</t>
        </is>
      </c>
      <c r="I10" s="7" t="inlineStr">
        <is>
          <t>S37, S39, S90, S111</t>
        </is>
      </c>
      <c r="J10" s="7" t="inlineStr">
        <is>
          <t>90: 3 independent sources, latest 2024; stage confirmed and raised confirmed by a primary source</t>
        </is>
      </c>
    </row>
    <row r="11">
      <c r="B11" s="6" t="inlineStr">
        <is>
          <t>Amperon</t>
        </is>
      </c>
      <c r="C11" s="6" t="inlineStr">
        <is>
          <t>AI energy forecasting software giving utilities, traders and asset operators load, price and renewable forecasts.</t>
        </is>
      </c>
      <c r="D11" s="6" t="inlineStr">
        <is>
          <t>Sean Kelly and Abraham Stanway, founded 2017</t>
        </is>
      </c>
      <c r="E11" s="6" t="inlineStr">
        <is>
          <t>Series B</t>
        </is>
      </c>
      <c r="F11" s="6" t="inlineStr">
        <is>
          <t>Series B closed at $20 million, bringing total funding to $30 million (not confirmed: 30)</t>
        </is>
      </c>
      <c r="G11" s="6" t="inlineStr">
        <is>
          <t>Houston, Texas</t>
        </is>
      </c>
      <c r="H11" s="6" t="inlineStr">
        <is>
          <t>Undisclosed follow-on investment from National Grid Partners announced 2025-03-12.</t>
        </is>
      </c>
      <c r="I11" s="6" t="inlineStr">
        <is>
          <t>S89, S115, S119, S120</t>
        </is>
      </c>
      <c r="J11" s="6" t="inlineStr">
        <is>
          <t>100: 3 independent sources, latest 2025; stage confirmed and raised confirmed by a primary source</t>
        </is>
      </c>
    </row>
    <row r="12">
      <c r="B12" s="7" t="inlineStr">
        <is>
          <t>AutoGrid</t>
        </is>
      </c>
      <c r="C12" s="7" t="inlineStr">
        <is>
          <t>AI-driven smart orchestration platform for distributed energy resources, including batteries, EVs and flexible load.</t>
        </is>
      </c>
      <c r="D12" s="7" t="inlineStr">
        <is>
          <t>Amit Narayan</t>
        </is>
      </c>
      <c r="E12" s="7" t="inlineStr">
        <is>
          <t>acquired by Schneider Electric (2022), later resold to Uplight (2023) (not confirmed: 2023)</t>
        </is>
      </c>
      <c r="F12" s="7" t="inlineStr">
        <is>
          <t>not disclosed (acquisition price undisclosed in both transactions)</t>
        </is>
      </c>
      <c r="G12" s="7" t="inlineStr">
        <is>
          <t>not disclosed</t>
        </is>
      </c>
      <c r="H12" s="7" t="inlineStr">
        <is>
          <t>Sold twice within roughly 18 months: Schneider Electric (2022) then Uplight (2023), evidence of consolidation in DER/storage software.</t>
        </is>
      </c>
      <c r="I12" s="7" t="inlineStr">
        <is>
          <t>S46, S48, S49, S51, S52, S108</t>
        </is>
      </c>
      <c r="J12" s="7" t="inlineStr">
        <is>
          <t>80: 3 independent sources, latest 2023; stage confirmed and raised not confirmed by a primary source</t>
        </is>
      </c>
    </row>
    <row r="13">
      <c r="B13" s="6" t="inlineStr">
        <is>
          <t>FlexGen Power Systems</t>
        </is>
      </c>
      <c r="C13" s="6" t="inlineStr">
        <is>
          <t>Software and hardware integrator for grid infrastructure; proprietary energy management platform HybridOS deploys power market strategies for storage owners.</t>
        </is>
      </c>
      <c r="D13" s="6" t="inlineStr">
        <is>
          <t>not disclosed, founded 2009</t>
        </is>
      </c>
      <c r="E13" s="6" t="inlineStr">
        <is>
          <t>Series C</t>
        </is>
      </c>
      <c r="F13" s="6" t="inlineStr">
        <is>
          <t>$100 million Series C, anchored by Vitol</t>
        </is>
      </c>
      <c r="G13" s="6" t="inlineStr">
        <is>
          <t>Durham, North Carolina</t>
        </is>
      </c>
      <c r="H13" s="6" t="inlineStr">
        <is>
          <t>Over 3 GWh of energy storage systems installed across the US for utility, microgrid and C&amp;I customers since founding.</t>
        </is>
      </c>
      <c r="I13" s="6" t="inlineStr">
        <is>
          <t>S133, S134, S136, S137, S140</t>
        </is>
      </c>
      <c r="J13" s="6" t="inlineStr">
        <is>
          <t>80: 3 independent sources, latest 2022; stage confirmed and raised confirmed by a primary source</t>
        </is>
      </c>
    </row>
    <row r="14">
      <c r="B14" s="7" t="inlineStr">
        <is>
          <t>Fluence Energy</t>
        </is>
      </c>
      <c r="C14" s="7" t="inlineStr">
        <is>
          <t>Bid-optimization software (Mosaic) and asset performance management (Nispera) alongside battery-storage hardware products.</t>
        </is>
      </c>
      <c r="D14" s="7" t="inlineStr">
        <is>
          <t>not disclosed</t>
        </is>
      </c>
      <c r="E14" s="7" t="inlineStr">
        <is>
          <t>public, Nasdaq: FLNC</t>
        </is>
      </c>
      <c r="F14" s="7" t="inlineStr">
        <is>
          <t>Revenue of $2.3 billion for fiscal year 2025; annual recurring revenue guidance of approximately $145 million for FY2025</t>
        </is>
      </c>
      <c r="G14" s="7" t="inlineStr">
        <is>
          <t>not disclosed</t>
        </is>
      </c>
      <c r="H14" s="7" t="inlineStr">
        <is>
          <t>Mosaic-optimized assets outperformed the CAISO market average by 50% in summer 2025; Mosaic has over 10GW of assets under management.</t>
        </is>
      </c>
      <c r="I14" s="7" t="inlineStr">
        <is>
          <t>S18, S57, S68, S70, S143, S144</t>
        </is>
      </c>
      <c r="J14" s="7" t="inlineStr">
        <is>
          <t>100: 3 independent sources, latest 2025; stage confirmed and raised confirmed by a primary source</t>
        </is>
      </c>
    </row>
    <row r="15">
      <c r="B15" s="6" t="inlineStr">
        <is>
          <t>Stem, Inc.</t>
        </is>
      </c>
      <c r="C15" s="6" t="inlineStr">
        <is>
          <t>Athena AI platform and PowerTrack suite for asset performance management of storage, solar and hybrid portfolios.</t>
        </is>
      </c>
      <c r="D15" s="6" t="inlineStr">
        <is>
          <t>not disclosed</t>
        </is>
      </c>
      <c r="E15" s="6" t="inlineStr">
        <is>
          <t>public, NYSE: STEM</t>
        </is>
      </c>
      <c r="F15" s="6" t="inlineStr">
        <is>
          <t>Hardware revenue of $68.6 million in 2025, 43.9% of total revenue, per 10-K; accumulated deficit of $1,488.7 million</t>
        </is>
      </c>
      <c r="G15" s="6" t="inlineStr">
        <is>
          <t>not disclosed</t>
        </is>
      </c>
      <c r="H15" s="6" t="inlineStr">
        <is>
          <t>Contracted storage assets under management fell to nearly 2 GWh in 2025 after growing just 100MWh (5.5GWh to 5.6GWh) in 2024; shares traded 95.29% below their $10.00 IPO price.</t>
        </is>
      </c>
      <c r="I15" s="6" t="inlineStr">
        <is>
          <t>S28, S35, S102</t>
        </is>
      </c>
      <c r="J15" s="6" t="inlineStr">
        <is>
          <t>100: 3 independent sources, latest 2025; stage confirmed and raised confirmed by a primary source</t>
        </is>
      </c>
    </row>
    <row r="16" ht="345" customHeight="1">
      <c r="B16" s="4" t="inlineStr">
        <is>
          <r>
            <rPr>
              <rFont val="Calibri"/>
              <b val="1"/>
              <i val="1"/>
              <color rgb="00808080"/>
              <sz val="10"/>
            </rPr>
            <t xml:space="preserve">Source(s): </t>
          </r>
          <r>
            <rPr>
              <rFont val="Calibri"/>
              <i val="1"/>
              <color rgb="00808080"/>
              <sz val="10"/>
            </rPr>
            <t>S91 Tyba raises $13.9M Series A to improve the profitability of ; S92 Tyba: Funding, Team &amp; Investors | Startup Intros; S93 Tyba raises $13.9M Series A to improve the profitability of ; S95 Tyba - 2026 Company Profile, Team, Funding &amp; Competitors - T; S97 Tyba raises $13.9M Series A to improve the profitability of ; S98 Tyba Raises $13.9 Million in Series A; S19 Habitat Energy - Crunchbase Company Profile &amp; Funding; S20 Canadian Solar invests in battery storage software company H; S22 Habitat Energy 2026 Company Profile: Valuation, Funding &amp; In; S23 Habitat Energy launches US Battery storage optimization plat; S25 What we do - Habitat Energy; S71 Danske Commodities and Habitat Energy win UK battery optimis; S73 Energy management startup GridBeyond funding round raises $1; S75 AI-driven optimiser GridBeyond raises €52 million from inves; S78 Powering progress: GridBeyond’s 2025 journey | GridBeyond; S81 GridBeyond - 2026 Company Profile, Team, Funding, Competitor; S37 Gridmatic Portfolio Investments, Gridmatic Funds, Gridmatic ; S39 Gridmatic US$50 million fund to manage battery storage proje; S90 Gridmatic Surpasses 1GWh of Energy Storage Under Management ; S111 Gridmatic - 2026 Company Profile, Team &amp; Competitors - Tracx; S89 Amperon | Demand Forecasts for the Energy Transition; S115 Amperon secures $20M series B, plans to expand platform - In; S119 How Much Did Amperon Raise? Funding &amp; Key Investors | Clay; S120 Amperon - 2026 Company Profile, Team, Funding &amp; Competitors ; S46 Schneider Electric set to acquire AutoGrid – pv magazine Int; S48 Schneider Electric to acquire AutoGrid, developer of AI for ; S49 Schneider Electric Acquires AutoGrid for an Undisclosed Amou; S51 Climate-AI Pioneer AutoGrid to Be Acquired by Schneider Elec; S52 Schneider Electric to buy out AutoGrid, combining AI optimiz; S108 Uplight to Acquire AutoGrid, Expanding Clean Energy Offering; S133 FlexGen Power Raises $100 Million in Series C Funding - Merc; S134 FlexGen's $100M Series C is the latest sign of the Southeast; S136 FlexGen Announces $100 Million Series C to Power Continued G; S137 Vitol invests in energy storage solutions provider FlexGen -; S140 FlexGen Announces $100 Million Series C to Power Continued G; S18 Fluence Energy FY2025 Annual Results: Revenue Down 16% to $2; S57 US battery energy storage operators and optimizers - and how; S68 Beating the Benchmark: Evolving Energy Storage Bidding in th; S70 Fluence Energy, Inc. - Form 10-K - FY2025; S143 Fluence Energy, Inc. - Form 8-K - FY2025; S144 Fluence Energy, Inc. - Form 8-K - FY2025; S28 Stem revenue down 69% in 2024 amid strategic shift away from; S35 Stem shifts to software-led model after restructuring | STEM; S102 STEM, INC. - Form 10-K - FY2024</t>
          </r>
        </is>
      </c>
    </row>
  </sheetData>
  <mergeCells count="3">
    <mergeCell ref="B5:I5"/>
    <mergeCell ref="B16:I16"/>
    <mergeCell ref="B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15"/>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Capital</t>
        </is>
      </c>
    </row>
    <row r="2">
      <c r="B2" s="2" t="inlineStr">
        <is>
          <t>grid-scale battery storage software for merchant operators</t>
        </is>
      </c>
    </row>
    <row r="4" ht="20" customHeight="1">
      <c r="B4" s="3" t="inlineStr">
        <is>
          <t>(1) ROUNDS, PROJECT FINANCE AND M&amp;A</t>
        </is>
      </c>
    </row>
    <row r="5" ht="30" customHeight="1">
      <c r="B5" s="4" t="inlineStr">
        <is>
          <r>
            <rPr>
              <rFont val="Calibri"/>
              <b val="1"/>
              <color rgb="002E2D29"/>
              <sz val="10"/>
            </rPr>
            <t xml:space="preserve">Fact: </t>
          </r>
          <r>
            <rPr>
              <rFont val="Calibri"/>
              <color rgb="002E2D29"/>
              <sz val="10"/>
            </rPr>
            <t>Gridmatic's tolling fund pays a battery owner a fixed fee to take over operation and keep all the resulting revenue itself, the opposite of the usual software-license model in this niche.</t>
          </r>
        </is>
      </c>
    </row>
    <row r="6">
      <c r="B6" s="5" t="inlineStr">
        <is>
          <t>Date</t>
        </is>
      </c>
      <c r="C6" s="5" t="inlineStr">
        <is>
          <t>Company</t>
        </is>
      </c>
      <c r="D6" s="5" t="inlineStr">
        <is>
          <t>Kind</t>
        </is>
      </c>
      <c r="E6" s="5" t="inlineStr">
        <is>
          <t>Amount</t>
        </is>
      </c>
      <c r="F6" s="5" t="inlineStr">
        <is>
          <t>Currency</t>
        </is>
      </c>
      <c r="G6" s="5" t="inlineStr">
        <is>
          <t>Investors</t>
        </is>
      </c>
      <c r="H6" s="5" t="inlineStr">
        <is>
          <t>Sources</t>
        </is>
      </c>
    </row>
    <row r="7">
      <c r="B7" s="6" t="inlineStr">
        <is>
          <t>2022-05-12</t>
        </is>
      </c>
      <c r="C7" s="6" t="inlineStr">
        <is>
          <t>AutoGrid</t>
        </is>
      </c>
      <c r="D7" s="6" t="inlineStr">
        <is>
          <t>M&amp;A (acquired)</t>
        </is>
      </c>
      <c r="E7" s="6" t="inlineStr">
        <is>
          <t>not disclosed</t>
        </is>
      </c>
      <c r="F7" s="6" t="inlineStr">
        <is>
          <t>USD</t>
        </is>
      </c>
      <c r="G7" s="6" t="inlineStr">
        <is>
          <t>Schneider Electric (buyer)</t>
        </is>
      </c>
      <c r="H7" s="6" t="inlineStr">
        <is>
          <t>S46, S49</t>
        </is>
      </c>
    </row>
    <row r="8">
      <c r="B8" s="7" t="inlineStr">
        <is>
          <t>2022-07-19</t>
        </is>
      </c>
      <c r="C8" s="7" t="inlineStr">
        <is>
          <t>FlexGen</t>
        </is>
      </c>
      <c r="D8" s="7" t="inlineStr">
        <is>
          <t>Series C</t>
        </is>
      </c>
      <c r="E8" s="7" t="inlineStr">
        <is>
          <t>100 million</t>
        </is>
      </c>
      <c r="F8" s="7" t="inlineStr">
        <is>
          <t>USD</t>
        </is>
      </c>
      <c r="G8" s="7" t="inlineStr">
        <is>
          <t>Vitol (anchor), existing investors</t>
        </is>
      </c>
      <c r="H8" s="7" t="inlineStr">
        <is>
          <t>S140</t>
        </is>
      </c>
    </row>
    <row r="9">
      <c r="B9" s="6" t="inlineStr">
        <is>
          <t>2023-10-03</t>
        </is>
      </c>
      <c r="C9" s="6" t="inlineStr">
        <is>
          <t>Amperon</t>
        </is>
      </c>
      <c r="D9" s="6" t="inlineStr">
        <is>
          <t>Series B</t>
        </is>
      </c>
      <c r="E9" s="6" t="inlineStr">
        <is>
          <t>not confirmed</t>
        </is>
      </c>
      <c r="F9" s="6" t="inlineStr">
        <is>
          <t>USD</t>
        </is>
      </c>
      <c r="G9" s="6" t="inlineStr">
        <is>
          <t>Energize Capital (lead), D.E. Shaw group, Veriten, HSBC Asset Management</t>
        </is>
      </c>
      <c r="H9" s="6" t="inlineStr">
        <is>
          <t>S115</t>
        </is>
      </c>
    </row>
    <row r="10">
      <c r="B10" s="7" t="inlineStr">
        <is>
          <t>2023-11-15</t>
        </is>
      </c>
      <c r="C10" s="7" t="inlineStr">
        <is>
          <t>Gridmatic</t>
        </is>
      </c>
      <c r="D10" s="7" t="inlineStr">
        <is>
          <t>Energy storage fund, second close</t>
        </is>
      </c>
      <c r="E10" s="7" t="inlineStr">
        <is>
          <t>50 million cumulative</t>
        </is>
      </c>
      <c r="F10" s="7" t="inlineStr">
        <is>
          <t>USD</t>
        </is>
      </c>
      <c r="G10" s="7" t="inlineStr">
        <is>
          <t>not named individually in release</t>
        </is>
      </c>
      <c r="H10" s="7" t="inlineStr">
        <is>
          <t>S37, S39</t>
        </is>
      </c>
    </row>
    <row r="11">
      <c r="B11" s="6" t="inlineStr">
        <is>
          <t>2024</t>
        </is>
      </c>
      <c r="C11" s="6" t="inlineStr">
        <is>
          <t>GridBeyond</t>
        </is>
      </c>
      <c r="D11" s="6" t="inlineStr">
        <is>
          <t>Series C</t>
        </is>
      </c>
      <c r="E11" s="6" t="inlineStr">
        <is>
          <t>52 million EUR (US$55.33 million)</t>
        </is>
      </c>
      <c r="F11" s="6" t="inlineStr">
        <is>
          <t>EUR</t>
        </is>
      </c>
      <c r="G11" s="6" t="inlineStr">
        <is>
          <t>Energy Impact Partners, Yokogawa Electric, ABB, and others</t>
        </is>
      </c>
      <c r="H11" s="6" t="inlineStr">
        <is>
          <t>S75</t>
        </is>
      </c>
    </row>
    <row r="12">
      <c r="B12" s="7" t="inlineStr">
        <is>
          <t>2025-02-06</t>
        </is>
      </c>
      <c r="C12" s="7" t="inlineStr">
        <is>
          <t>Tyba</t>
        </is>
      </c>
      <c r="D12" s="7" t="inlineStr">
        <is>
          <t>Series A</t>
        </is>
      </c>
      <c r="E12" s="7" t="inlineStr">
        <is>
          <t>13.9 million (total funding 18.15 million)</t>
        </is>
      </c>
      <c r="F12" s="7" t="inlineStr">
        <is>
          <t>USD</t>
        </is>
      </c>
      <c r="G12" s="7" t="inlineStr">
        <is>
          <t>Energize Capital (lead), Pear VC, Mobilize Climate Capital, Borusan Ventures; follow-on Powerhouse, Wireframe, Virta, Lorimer</t>
        </is>
      </c>
      <c r="H12" s="7" t="inlineStr">
        <is>
          <t>S91, S93</t>
        </is>
      </c>
    </row>
    <row r="13">
      <c r="B13" s="6" t="inlineStr">
        <is>
          <t>2025-03-12</t>
        </is>
      </c>
      <c r="C13" s="6" t="inlineStr">
        <is>
          <t>Amperon</t>
        </is>
      </c>
      <c r="D13" s="6" t="inlineStr">
        <is>
          <t>Undisclosed round</t>
        </is>
      </c>
      <c r="E13" s="6" t="inlineStr">
        <is>
          <t>not disclosed</t>
        </is>
      </c>
      <c r="F13" s="6" t="inlineStr">
        <is>
          <t>USD</t>
        </is>
      </c>
      <c r="G13" s="6" t="inlineStr">
        <is>
          <t>National Grid Partners</t>
        </is>
      </c>
      <c r="H13" s="6" t="inlineStr">
        <is>
          <t>S119</t>
        </is>
      </c>
    </row>
    <row r="14">
      <c r="B14" s="7" t="inlineStr">
        <is>
          <t>2026</t>
        </is>
      </c>
      <c r="C14" s="7" t="inlineStr">
        <is>
          <t>GridBeyond</t>
        </is>
      </c>
      <c r="D14" s="7" t="inlineStr">
        <is>
          <t>Series D</t>
        </is>
      </c>
      <c r="E14" s="7" t="inlineStr">
        <is>
          <t>12 million</t>
        </is>
      </c>
      <c r="F14" s="7" t="inlineStr">
        <is>
          <t>USD</t>
        </is>
      </c>
      <c r="G14" s="7" t="inlineStr">
        <is>
          <t>Samsung Ventures, ABB, Constellation, Act Venture Capital</t>
        </is>
      </c>
      <c r="H14" s="7" t="inlineStr">
        <is>
          <t>S73</t>
        </is>
      </c>
    </row>
    <row r="15" ht="105" customHeight="1">
      <c r="B15" s="4" t="inlineStr">
        <is>
          <r>
            <rPr>
              <rFont val="Calibri"/>
              <b val="1"/>
              <i val="1"/>
              <color rgb="00808080"/>
              <sz val="10"/>
            </rPr>
            <t xml:space="preserve">Source(s): </t>
          </r>
          <r>
            <rPr>
              <rFont val="Calibri"/>
              <i val="1"/>
              <color rgb="00808080"/>
              <sz val="10"/>
            </rPr>
            <t>S46 Schneider Electric set to acquire AutoGrid – pv magazine Int; S49 Schneider Electric Acquires AutoGrid for an Undisclosed Amou; S140 FlexGen Announces $100 Million Series C to Power Continued G; S115 Amperon secures $20M series B, plans to expand platform - In; S37 Gridmatic Portfolio Investments, Gridmatic Funds, Gridmatic ; S39 Gridmatic US$50 million fund to manage battery storage proje; S75 AI-driven optimiser GridBeyond raises €52 million from inves; S91 Tyba raises $13.9M Series A to improve the profitability of ; S93 Tyba raises $13.9M Series A to improve the profitability of ; S119 How Much Did Amperon Raise? Funding &amp; Key Investors | Clay; S73 Energy management startup GridBeyond funding round raises $1</t>
          </r>
        </is>
      </c>
    </row>
  </sheetData>
  <mergeCells count="3">
    <mergeCell ref="B5:I5"/>
    <mergeCell ref="B4:I4"/>
    <mergeCell ref="B15:I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I16"/>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Incumbents</t>
        </is>
      </c>
    </row>
    <row r="2">
      <c r="B2" s="2" t="inlineStr">
        <is>
          <t>grid-scale battery storage software for merchant operators</t>
        </is>
      </c>
    </row>
    <row r="4" ht="20" customHeight="1">
      <c r="B4" s="3" t="inlineStr">
        <is>
          <t>(1) LARGE PLAYERS AND PUBLIC COMPARABLES</t>
        </is>
      </c>
    </row>
    <row r="5" ht="30" customHeight="1">
      <c r="B5" s="4" t="inlineStr">
        <is>
          <r>
            <rPr>
              <rFont val="Calibri"/>
              <b val="1"/>
              <color rgb="002E2D29"/>
              <sz val="10"/>
            </rPr>
            <t xml:space="preserve">Fact: </t>
          </r>
          <r>
            <rPr>
              <rFont val="Calibri"/>
              <color rgb="002E2D29"/>
              <sz val="10"/>
            </rPr>
            <t>Fluence reported 2.3 billion USD in revenue for fiscal year 2025, but its digital and software business remains small next to hardware: energy storage products stayed at 96% of revenue [S18][S144].</t>
          </r>
        </is>
      </c>
    </row>
    <row r="6">
      <c r="B6" s="5" t="inlineStr">
        <is>
          <t>Name</t>
        </is>
      </c>
      <c r="C6" s="5" t="inlineStr">
        <is>
          <t>Kind</t>
        </is>
      </c>
      <c r="D6" s="5" t="inlineStr">
        <is>
          <t>Ticker</t>
        </is>
      </c>
      <c r="E6" s="5" t="inlineStr">
        <is>
          <t>Metric that matters</t>
        </is>
      </c>
      <c r="F6" s="5" t="inlineStr">
        <is>
          <t>Value</t>
        </is>
      </c>
      <c r="G6" s="5" t="inlineStr">
        <is>
          <t>As of</t>
        </is>
      </c>
      <c r="H6" s="5" t="inlineStr">
        <is>
          <t>Sources</t>
        </is>
      </c>
    </row>
    <row r="7">
      <c r="B7" s="6" t="inlineStr">
        <is>
          <t>Fluence Energy</t>
        </is>
      </c>
      <c r="C7" s="6" t="inlineStr">
        <is>
          <t>incumbent, public</t>
        </is>
      </c>
      <c r="D7" s="6" t="inlineStr">
        <is>
          <t>FLNC</t>
        </is>
      </c>
      <c r="E7" s="6" t="inlineStr">
        <is>
          <t>FY2025 revenue</t>
        </is>
      </c>
      <c r="F7" s="6" t="inlineStr">
        <is>
          <t>2.3 billion USD</t>
        </is>
      </c>
      <c r="G7" s="6" t="inlineStr">
        <is>
          <t>2025 fiscal year end (2025-09-30)</t>
        </is>
      </c>
      <c r="H7" s="6" t="inlineStr">
        <is>
          <t>S144</t>
        </is>
      </c>
    </row>
    <row r="8">
      <c r="B8" s="7" t="inlineStr">
        <is>
          <t>Fluence Energy</t>
        </is>
      </c>
      <c r="C8" s="7" t="inlineStr">
        <is>
          <t>incumbent, public</t>
        </is>
      </c>
      <c r="D8" s="7" t="inlineStr">
        <is>
          <t>FLNC</t>
        </is>
      </c>
      <c r="E8" s="7" t="inlineStr">
        <is>
          <t>FY2025 annual recurring revenue (ARR) guidance</t>
        </is>
      </c>
      <c r="F8" s="7" t="inlineStr">
        <is>
          <t>approximately 145 million USD</t>
        </is>
      </c>
      <c r="G8" s="7" t="inlineStr">
        <is>
          <t>2025 fiscal year</t>
        </is>
      </c>
      <c r="H8" s="7" t="inlineStr">
        <is>
          <t>S143</t>
        </is>
      </c>
    </row>
    <row r="9">
      <c r="B9" s="6" t="inlineStr">
        <is>
          <t>Fluence Energy</t>
        </is>
      </c>
      <c r="C9" s="6" t="inlineStr">
        <is>
          <t>incumbent, public</t>
        </is>
      </c>
      <c r="D9" s="6" t="inlineStr">
        <is>
          <t>FLNC</t>
        </is>
      </c>
      <c r="E9" s="6" t="inlineStr">
        <is>
          <t>FY2026 ARR guidance</t>
        </is>
      </c>
      <c r="F9" s="6" t="inlineStr">
        <is>
          <t>approximately 180.0 million USD</t>
        </is>
      </c>
      <c r="G9" s="6" t="inlineStr">
        <is>
          <t>by end of fiscal year 2026</t>
        </is>
      </c>
      <c r="H9" s="6" t="inlineStr">
        <is>
          <t>S14</t>
        </is>
      </c>
    </row>
    <row r="10">
      <c r="B10" s="7" t="inlineStr">
        <is>
          <t>Fluence Energy (Mosaic product)</t>
        </is>
      </c>
      <c r="C10" s="7" t="inlineStr">
        <is>
          <t>incumbent, public</t>
        </is>
      </c>
      <c r="D10" s="7" t="inlineStr">
        <is>
          <t>FLNC</t>
        </is>
      </c>
      <c r="E10" s="7" t="inlineStr">
        <is>
          <t>assets under management on Mosaic bid-optimization software</t>
        </is>
      </c>
      <c r="F10" s="7" t="inlineStr">
        <is>
          <t>over 10GW</t>
        </is>
      </c>
      <c r="G10" s="7" t="inlineStr">
        <is>
          <t>not disclosed</t>
        </is>
      </c>
      <c r="H10" s="7" t="inlineStr">
        <is>
          <t>S57</t>
        </is>
      </c>
    </row>
    <row r="11">
      <c r="B11" s="6" t="inlineStr">
        <is>
          <t>Stem, Inc.</t>
        </is>
      </c>
      <c r="C11" s="6" t="inlineStr">
        <is>
          <t>incumbent, public</t>
        </is>
      </c>
      <c r="D11" s="6" t="inlineStr">
        <is>
          <t>STEM</t>
        </is>
      </c>
      <c r="E11" s="6" t="inlineStr">
        <is>
          <t>FY2025 hardware revenue and share of revenue</t>
        </is>
      </c>
      <c r="F11" s="6" t="inlineStr">
        <is>
          <t>68.6 million USD (43.9% of revenue)</t>
        </is>
      </c>
      <c r="G11" s="6" t="inlineStr">
        <is>
          <t>2025 fiscal year</t>
        </is>
      </c>
      <c r="H11" s="6" t="inlineStr">
        <is>
          <t>S35</t>
        </is>
      </c>
    </row>
    <row r="12">
      <c r="B12" s="7" t="inlineStr">
        <is>
          <t>Stem, Inc.</t>
        </is>
      </c>
      <c r="C12" s="7" t="inlineStr">
        <is>
          <t>incumbent, public</t>
        </is>
      </c>
      <c r="D12" s="7" t="inlineStr">
        <is>
          <t>STEM</t>
        </is>
      </c>
      <c r="E12" s="7" t="inlineStr">
        <is>
          <t>storage under management</t>
        </is>
      </c>
      <c r="F12" s="7" t="inlineStr">
        <is>
          <t>nearly 2 GWh</t>
        </is>
      </c>
      <c r="G12" s="7" t="inlineStr">
        <is>
          <t>2025</t>
        </is>
      </c>
      <c r="H12" s="7" t="inlineStr">
        <is>
          <t>S35</t>
        </is>
      </c>
    </row>
    <row r="13">
      <c r="B13" s="6" t="inlineStr">
        <is>
          <t>Stem, Inc.</t>
        </is>
      </c>
      <c r="C13" s="6" t="inlineStr">
        <is>
          <t>incumbent, public</t>
        </is>
      </c>
      <c r="D13" s="6" t="inlineStr">
        <is>
          <t>STEM</t>
        </is>
      </c>
      <c r="E13" s="6" t="inlineStr">
        <is>
          <t>accumulated deficit</t>
        </is>
      </c>
      <c r="F13" s="6" t="inlineStr">
        <is>
          <t>1,488.7 million USD</t>
        </is>
      </c>
      <c r="G13" s="6" t="inlineStr">
        <is>
          <t>2025 fiscal year</t>
        </is>
      </c>
      <c r="H13" s="6" t="inlineStr">
        <is>
          <t>S35</t>
        </is>
      </c>
    </row>
    <row r="14">
      <c r="B14" s="7" t="inlineStr">
        <is>
          <t>Stem, Inc.</t>
        </is>
      </c>
      <c r="C14" s="7" t="inlineStr">
        <is>
          <t>incumbent, public</t>
        </is>
      </c>
      <c r="D14" s="7" t="inlineStr">
        <is>
          <t>STEM</t>
        </is>
      </c>
      <c r="E14" s="7" t="inlineStr">
        <is>
          <t>contracted energy storage assets under management, prior year</t>
        </is>
      </c>
      <c r="F14" s="7" t="inlineStr">
        <is>
          <t>5.5GWh to 5.6GWh</t>
        </is>
      </c>
      <c r="G14" s="7" t="inlineStr">
        <is>
          <t>end of 2023 to end of 2024</t>
        </is>
      </c>
      <c r="H14" s="7" t="inlineStr">
        <is>
          <t>S28</t>
        </is>
      </c>
    </row>
    <row r="15">
      <c r="B15" s="6" t="inlineStr">
        <is>
          <t>AutoGrid (now part of Schneider Electric, then Uplight)</t>
        </is>
      </c>
      <c r="C15" s="6" t="inlineStr">
        <is>
          <t>incumbent, acquired</t>
        </is>
      </c>
      <c r="D15" s="6" t="inlineStr">
        <is>
          <t>not applicable</t>
        </is>
      </c>
      <c r="E15" s="6" t="inlineStr">
        <is>
          <t>acquisition price by Schneider Electric</t>
        </is>
      </c>
      <c r="F15" s="6" t="inlineStr">
        <is>
          <t>not disclosed</t>
        </is>
      </c>
      <c r="G15" s="6" t="inlineStr">
        <is>
          <t>2022-05-12</t>
        </is>
      </c>
      <c r="H15" s="6" t="inlineStr">
        <is>
          <t>S49</t>
        </is>
      </c>
    </row>
    <row r="16" ht="60" customHeight="1">
      <c r="B16" s="4" t="inlineStr">
        <is>
          <r>
            <rPr>
              <rFont val="Calibri"/>
              <b val="1"/>
              <i val="1"/>
              <color rgb="00808080"/>
              <sz val="10"/>
            </rPr>
            <t xml:space="preserve">Source(s): </t>
          </r>
          <r>
            <rPr>
              <rFont val="Calibri"/>
              <i val="1"/>
              <color rgb="00808080"/>
              <sz val="10"/>
            </rPr>
            <t>S144 Fluence Energy, Inc. - Form 8-K - FY2025; S143 Fluence Energy, Inc. - Form 8-K - FY2025; S14 Fluence Energy, Inc. Reports First Quarter 2026 Results; S57 US battery energy storage operators and optimizers - and how; S35 Stem shifts to software-led model after restructuring | STEM; S28 Stem revenue down 69% in 2024 amid strategic shift away from; S49 Schneider Electric Acquires AutoGrid for an Undisclosed Amou</t>
          </r>
        </is>
      </c>
    </row>
  </sheetData>
  <mergeCells count="3">
    <mergeCell ref="B5:I5"/>
    <mergeCell ref="B16:I16"/>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I10"/>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Policy</t>
        </is>
      </c>
    </row>
    <row r="2">
      <c r="B2" s="2" t="inlineStr">
        <is>
          <t>grid-scale battery storage software for merchant operators</t>
        </is>
      </c>
    </row>
    <row r="4" ht="20" customHeight="1">
      <c r="B4" s="3" t="inlineStr">
        <is>
          <t>(1) POLICY ACTIONS (ERW TABLES POLICY_ACTIONS AND POLICY_READS)</t>
        </is>
      </c>
    </row>
    <row r="5" ht="45" customHeight="1">
      <c r="B5" s="4" t="inlineStr">
        <is>
          <r>
            <rPr>
              <rFont val="Calibri"/>
              <b val="1"/>
              <color rgb="002E2D29"/>
              <sz val="10"/>
            </rPr>
            <t xml:space="preserve">Fact: </t>
          </r>
          <r>
            <rPr>
              <rFont val="Calibri"/>
              <color rgb="002E2D29"/>
              <sz val="10"/>
            </rPr>
            <t>Federal Register policy actions this period include one EPA rule reshaping the coal/gas economics that create the price spreads merchant battery software arbitrages, plus two FERC notices on named battery storage projects entering environmental review, the kind of project that becomes a future customer for optimization software once built.</t>
          </r>
        </is>
      </c>
    </row>
    <row r="6">
      <c r="B6" s="5" t="inlineStr">
        <is>
          <t>Date</t>
        </is>
      </c>
      <c r="C6" s="5" t="inlineStr">
        <is>
          <t>Agency</t>
        </is>
      </c>
      <c r="D6" s="5" t="inlineStr">
        <is>
          <t>Type</t>
        </is>
      </c>
      <c r="E6" s="5" t="inlineStr">
        <is>
          <t>Title</t>
        </is>
      </c>
      <c r="F6" s="5" t="inlineStr">
        <is>
          <t>Read (policy_reads) or why it matters</t>
        </is>
      </c>
      <c r="G6" s="5" t="inlineStr">
        <is>
          <t>Link</t>
        </is>
      </c>
    </row>
    <row r="7">
      <c r="B7" s="6" t="inlineStr">
        <is>
          <t>2026-09-17</t>
        </is>
      </c>
      <c r="C7" s="6" t="inlineStr">
        <is>
          <t>EPA</t>
        </is>
      </c>
      <c r="D7" s="6" t="inlineStr">
        <is>
          <t>rule</t>
        </is>
      </c>
      <c r="E7" s="6" t="inlineStr">
        <is>
          <t>Partial Repeal of the Carbon Pollution Standards for Fossil Fuel-Fired Electric Generating Units</t>
        </is>
      </c>
      <c r="F7" s="6" t="inlineStr">
        <is>
          <t>EPA's partial repeal of Carbon Pollution Standards for fossil-fuel generating units changes coal and gas plant economics nationwide, which changes the price spreads and dispatch patterns that merchant battery-optimization software is built to capture.</t>
        </is>
      </c>
      <c r="G7" s="6" t="inlineStr">
        <is>
          <t>https://www.federalregister.gov/documents/2026/09/17/2026-19071/partial-repeal-of-the-carbon-pollution-standards-for-fossil-fuel-fired-electric-generating-units</t>
        </is>
      </c>
    </row>
    <row r="8">
      <c r="B8" s="7" t="inlineStr">
        <is>
          <t>2026-01-16</t>
        </is>
      </c>
      <c r="C8" s="7" t="inlineStr">
        <is>
          <t>FERC</t>
        </is>
      </c>
      <c r="D8" s="7" t="inlineStr">
        <is>
          <t>notice</t>
        </is>
      </c>
      <c r="E8" s="7" t="inlineStr">
        <is>
          <t>Columbia Gas Transmission, LLC; Notice of Scoping Period Requesting Comments on Environmental Issues for the Proposed Southeast Virginia Energy Storage Project, and Notice of Public Scoping Session</t>
        </is>
      </c>
      <c r="F8" s="7" t="inlineStr">
        <is>
          <t>FERC's scoping notice for the Southeast Virginia Energy Storage Project is a named grid-scale battery project entering environmental review, part of the pipeline of assets that eventually need bidding and dispatch software.</t>
        </is>
      </c>
      <c r="G8" s="7" t="inlineStr">
        <is>
          <t>https://www.federalregister.gov/documents/2026/01/16/2026-00825/columbia-gas-transmission-llc-notice-of-scoping-period-requesting-comments-on-environmental-issues</t>
        </is>
      </c>
    </row>
    <row r="9">
      <c r="B9" s="6" t="inlineStr">
        <is>
          <t>2026-01-30</t>
        </is>
      </c>
      <c r="C9" s="6" t="inlineStr">
        <is>
          <t>FERC</t>
        </is>
      </c>
      <c r="D9" s="6" t="inlineStr">
        <is>
          <t>notice</t>
        </is>
      </c>
      <c r="E9" s="6" t="inlineStr">
        <is>
          <t>HGE Energy Storage 9, LLC; Notice of Preliminary Permit Application Accepted for Filing and Soliciting Comments, Motions To Intervene, and Competing Applications</t>
        </is>
      </c>
      <c r="F9" s="6" t="inlineStr">
        <is>
          <t>FERC's notice on HGE Energy Storage 9's preliminary permit application is another grid-scale storage project moving through the federal process, adding to the pool of merchant-exposed assets that optimization vendors compete to serve.</t>
        </is>
      </c>
      <c r="G9" s="6" t="inlineStr">
        <is>
          <t>https://www.federalregister.gov/documents/2026/01/30/2026-01925/hge-energy-storage-9-llc-notice-of-preliminary-permit-application-accepted-for-filing-and-soliciting</t>
        </is>
      </c>
    </row>
    <row r="10" ht="30" customHeight="1">
      <c r="B10" s="4" t="inlineStr">
        <is>
          <r>
            <rPr>
              <rFont val="Calibri"/>
              <b val="1"/>
              <i val="1"/>
              <color rgb="00808080"/>
              <sz val="10"/>
            </rPr>
            <t xml:space="preserve">Source(s): </t>
          </r>
          <r>
            <rPr>
              <rFont val="Calibri"/>
              <i val="1"/>
              <color rgb="00808080"/>
              <sz val="10"/>
            </rPr>
            <t>ERW tables policy_actions (Federal Register and agency news) and policy_reads (impact reads, fields kept only when their words are in the action's own text).</t>
          </r>
        </is>
      </c>
    </row>
  </sheetData>
  <mergeCells count="3">
    <mergeCell ref="B5:I5"/>
    <mergeCell ref="B4:I4"/>
    <mergeCell ref="B10:I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I42"/>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Risks</t>
        </is>
      </c>
    </row>
    <row r="2">
      <c r="B2" s="2" t="inlineStr">
        <is>
          <t>grid-scale battery storage software for merchant operators</t>
        </is>
      </c>
    </row>
    <row r="4" ht="20" customHeight="1">
      <c r="B4" s="3" t="inlineStr">
        <is>
          <t>(1) BACKTESTED PERFORMANCE CLAIMS ARE NOT AUDITED OR INDEPENDENTLY VERIFIED</t>
        </is>
      </c>
    </row>
    <row r="5" ht="45" customHeight="1">
      <c r="B5" s="4" t="inlineStr">
        <is>
          <r>
            <rPr>
              <rFont val="Calibri"/>
              <b val="1"/>
              <color rgb="002E2D29"/>
              <sz val="10"/>
            </rPr>
            <t xml:space="preserve">Fact: </t>
          </r>
          <r>
            <rPr>
              <rFont val="Calibri"/>
              <color rgb="002E2D29"/>
              <sz val="10"/>
            </rPr>
            <t>If a thesis assumes vendor software reliably delivers stated revenue uplifts, the underlying evidence is a single vendor's own backtest for one market in one year, not a third-party audit, so realized returns for new deployments, other ISOs, or other years may differ materially from the marketed figure</t>
          </r>
        </is>
      </c>
    </row>
    <row r="6" ht="30" customHeight="1">
      <c r="B6" s="4" t="inlineStr">
        <is>
          <r>
            <rPr>
              <rFont val="Calibri"/>
              <b val="1"/>
              <color rgb="002E2D29"/>
              <sz val="10"/>
            </rPr>
            <t xml:space="preserve">Not known: </t>
          </r>
          <r>
            <rPr>
              <rFont val="Calibri"/>
              <color rgb="002E2D29"/>
              <sz val="10"/>
            </rPr>
            <t>Model architecture, forecast error rates, degradation modeling method, and how any vendor's software performs out-of-sample, outside ERCOT, or outside 2022</t>
          </r>
        </is>
      </c>
    </row>
    <row r="7" ht="15" customHeight="1">
      <c r="B7" s="4" t="inlineStr">
        <is>
          <r>
            <rPr>
              <rFont val="Calibri"/>
              <b val="1"/>
              <i val="1"/>
              <color rgb="00808080"/>
              <sz val="10"/>
            </rPr>
            <t xml:space="preserve">Source(s): </t>
          </r>
          <r>
            <rPr>
              <rFont val="Calibri"/>
              <i val="1"/>
              <color rgb="00808080"/>
              <sz val="10"/>
            </rPr>
            <t xml:space="preserve">S90 Gridmatic Surpasses 1GWh of Energy Storage Under Management </t>
          </r>
        </is>
      </c>
    </row>
    <row r="9" ht="20" customHeight="1">
      <c r="B9" s="3" t="inlineStr">
        <is>
          <t>(2) REVENUE CONCENTRATION IN TWO MARKETS THAT ARE THEMSELVES GETTING MORE CROWDED</t>
        </is>
      </c>
    </row>
    <row r="10" ht="45" customHeight="1">
      <c r="B10" s="4" t="inlineStr">
        <is>
          <r>
            <rPr>
              <rFont val="Calibri"/>
              <b val="1"/>
              <color rgb="002E2D29"/>
              <sz val="10"/>
            </rPr>
            <t xml:space="preserve">Fact: </t>
          </r>
          <r>
            <rPr>
              <rFont val="Calibri"/>
              <color rgb="002E2D29"/>
              <sz val="10"/>
            </rPr>
            <t>Software vendors' revenue is concentrated in ERCOT and CAISO, the same two markets absorbing the largest storage build-out pipelines; if arbitrage and ancillary-service prices compress as more MW enters, the addressable revenue per MW that software vendors can capture or take a cut of shrinks, even if the software itself performs well</t>
          </r>
        </is>
      </c>
    </row>
    <row r="11" ht="30" customHeight="1">
      <c r="B11" s="4" t="inlineStr">
        <is>
          <r>
            <rPr>
              <rFont val="Calibri"/>
              <b val="1"/>
              <color rgb="002E2D29"/>
              <sz val="10"/>
            </rPr>
            <t xml:space="preserve">Not known: </t>
          </r>
          <r>
            <rPr>
              <rFont val="Calibri"/>
              <color rgb="002E2D29"/>
              <sz val="10"/>
            </rPr>
            <t>Current or forward price-compression figures for ERCOT or CAISO ancillary-service and arbitrage markets that would quantify this cannibalization effect</t>
          </r>
        </is>
      </c>
    </row>
    <row r="12" ht="30" customHeight="1">
      <c r="B12" s="4" t="inlineStr">
        <is>
          <r>
            <rPr>
              <rFont val="Calibri"/>
              <b val="1"/>
              <i val="1"/>
              <color rgb="00808080"/>
              <sz val="10"/>
            </rPr>
            <t xml:space="preserve">Source(s): </t>
          </r>
          <r>
            <rPr>
              <rFont val="Calibri"/>
              <i val="1"/>
              <color rgb="00808080"/>
              <sz val="10"/>
            </rPr>
            <t>S39 Gridmatic US$50 million fund to manage battery storage proje; S55 ERCOT Energy Storage 2026, $139.6M es Volta Financing; S58 What to know about ERCOT's new RTC+B program - Energy Storag</t>
          </r>
        </is>
      </c>
    </row>
    <row r="14" ht="20" customHeight="1">
      <c r="B14" s="3" t="inlineStr">
        <is>
          <t>(3) CATEGORY CONSOLIDATION TOWARD STRATEGIC ACQUIRERS RATHER THAN INDEPENDENT GROWTH</t>
        </is>
      </c>
    </row>
    <row r="15" ht="60" customHeight="1">
      <c r="B15" s="4" t="inlineStr">
        <is>
          <r>
            <rPr>
              <rFont val="Calibri"/>
              <b val="1"/>
              <color rgb="002E2D29"/>
              <sz val="10"/>
            </rPr>
            <t xml:space="preserve">Fact: </t>
          </r>
          <r>
            <rPr>
              <rFont val="Calibri"/>
              <color rgb="002E2D29"/>
              <sz val="10"/>
            </rPr>
            <t>A thesis premised on standalone, high-growth optimization software companies is undercut by the sector's largest independent DER software name not staying independent: AutoGrid raised a total of $160M over 10 rounds before being acquired by Schneider Electric, then resold to Uplight, suggesting exit paths run through strategics, not independent scale (not confirmed: 160, 10)</t>
          </r>
        </is>
      </c>
    </row>
    <row r="16" ht="30" customHeight="1">
      <c r="B16" s="4" t="inlineStr">
        <is>
          <r>
            <rPr>
              <rFont val="Calibri"/>
              <b val="1"/>
              <color rgb="002E2D29"/>
              <sz val="10"/>
            </rPr>
            <t xml:space="preserve">Not known: </t>
          </r>
          <r>
            <rPr>
              <rFont val="Calibri"/>
              <color rgb="002E2D29"/>
              <sz val="10"/>
            </rPr>
            <t>AutoGrid's acquisition price from Schneider Electric was not disclosed, nor was the resale price to Uplight, making it impossible to assess whether these were value-accretive or distressed exits</t>
          </r>
        </is>
      </c>
    </row>
    <row r="17" ht="30" customHeight="1">
      <c r="B17" s="4" t="inlineStr">
        <is>
          <r>
            <rPr>
              <rFont val="Calibri"/>
              <b val="1"/>
              <i val="1"/>
              <color rgb="00808080"/>
              <sz val="10"/>
            </rPr>
            <t xml:space="preserve">Source(s): </t>
          </r>
          <r>
            <rPr>
              <rFont val="Calibri"/>
              <i val="1"/>
              <color rgb="00808080"/>
              <sz val="10"/>
            </rPr>
            <t>S49 Schneider Electric Acquires AutoGrid for an Undisclosed Amou; S108 Uplight to Acquire AutoGrid, Expanding Clean Energy Offering; S173 US distributed energy tech platform companies AutoGrid, Leap</t>
          </r>
        </is>
      </c>
    </row>
    <row r="19" ht="20" customHeight="1">
      <c r="B19" s="3" t="inlineStr">
        <is>
          <t>(4) GROWTH IS GATED BY DEVELOPERS' ACCESS TO PROJECT FINANCING, NOT BY SOFTWARE DEMAND ALONE</t>
        </is>
      </c>
    </row>
    <row r="20" ht="60" customHeight="1">
      <c r="B20" s="4" t="inlineStr">
        <is>
          <r>
            <rPr>
              <rFont val="Calibri"/>
              <b val="1"/>
              <color rgb="002E2D29"/>
              <sz val="10"/>
            </rPr>
            <t xml:space="preserve">Fact: </t>
          </r>
          <r>
            <rPr>
              <rFont val="Calibri"/>
              <color rgb="002E2D29"/>
              <sz val="10"/>
            </rPr>
            <t>If a thesis assumes software adoption scales with storage build-out independent of financing conditions, that ignores that multi-year offtake contracts are what let developers obtain financing and recycle capital into new storage systems; a tightening of project debt or offtake markets slows the pipeline of assets available for optimization software regardless of product quality</t>
          </r>
        </is>
      </c>
    </row>
    <row r="21" ht="30" customHeight="1">
      <c r="B21" s="4" t="inlineStr">
        <is>
          <r>
            <rPr>
              <rFont val="Calibri"/>
              <b val="1"/>
              <color rgb="002E2D29"/>
              <sz val="10"/>
            </rPr>
            <t xml:space="preserve">Not known: </t>
          </r>
          <r>
            <rPr>
              <rFont val="Calibri"/>
              <color rgb="002E2D29"/>
              <sz val="10"/>
            </rPr>
            <t>Current interest-rate sensitivity, offtake contract terms, or project debt covenant structures for the storage developers that are software vendors' customers</t>
          </r>
        </is>
      </c>
    </row>
    <row r="22" ht="15" customHeight="1">
      <c r="B22" s="4" t="inlineStr">
        <is>
          <r>
            <rPr>
              <rFont val="Calibri"/>
              <b val="1"/>
              <i val="1"/>
              <color rgb="00808080"/>
              <sz val="10"/>
            </rPr>
            <t xml:space="preserve">Source(s): </t>
          </r>
          <r>
            <rPr>
              <rFont val="Calibri"/>
              <i val="1"/>
              <color rgb="00808080"/>
              <sz val="10"/>
            </rPr>
            <t>S55 ERCOT Energy Storage 2026, $139.6M es Volta Financing</t>
          </r>
        </is>
      </c>
    </row>
    <row r="24" ht="20" customHeight="1">
      <c r="B24" s="3" t="inlineStr">
        <is>
          <t>(5) NO PUBLIC REVENUE, MARGIN, OR CUSTOMER-RETENTION DATA EXISTS FOR THE CORE COMPARABLE COMPANIES</t>
        </is>
      </c>
    </row>
    <row r="25" ht="45" customHeight="1">
      <c r="B25" s="4" t="inlineStr">
        <is>
          <r>
            <rPr>
              <rFont val="Calibri"/>
              <b val="1"/>
              <color rgb="002E2D29"/>
              <sz val="10"/>
            </rPr>
            <t xml:space="preserve">Fact: </t>
          </r>
          <r>
            <rPr>
              <rFont val="Calibri"/>
              <color rgb="002E2D29"/>
              <sz val="10"/>
            </rPr>
            <t>A thesis that sizes this niche or benchmarks vendor economics has to rely on funding-round amounts and vendor press claims rather than audited financials, since revenue, burn rate, runway, and profitability for AutoGrid, Leap, Gridmatic, Habitat Energy, and Stem's software-specific line are not disclosed in available sources</t>
          </r>
        </is>
      </c>
    </row>
    <row r="26" ht="15" customHeight="1">
      <c r="B26" s="4" t="inlineStr">
        <is>
          <r>
            <rPr>
              <rFont val="Calibri"/>
              <b val="1"/>
              <color rgb="002E2D29"/>
              <sz val="10"/>
            </rPr>
            <t xml:space="preserve">Not known: </t>
          </r>
          <r>
            <rPr>
              <rFont val="Calibri"/>
              <color rgb="002E2D29"/>
              <sz val="10"/>
            </rPr>
            <t>Current revenue, gross margin, churn, and cap table ownership for AutoGrid, Leap, Gridmatic, Habitat Energy, and Tyba</t>
          </r>
        </is>
      </c>
    </row>
    <row r="27" ht="30" customHeight="1">
      <c r="B27" s="4" t="inlineStr">
        <is>
          <r>
            <rPr>
              <rFont val="Calibri"/>
              <b val="1"/>
              <i val="1"/>
              <color rgb="00808080"/>
              <sz val="10"/>
            </rPr>
            <t xml:space="preserve">Source(s): </t>
          </r>
          <r>
            <rPr>
              <rFont val="Calibri"/>
              <i val="1"/>
              <color rgb="00808080"/>
              <sz val="10"/>
            </rPr>
            <t xml:space="preserve">S22 Habitat Energy 2026 Company Profile: Valuation, Funding &amp; In; S37 Gridmatic Portfolio Investments, Gridmatic Funds, Gridmatic ; S91 Tyba raises $13.9M Series A to improve the profitability of </t>
          </r>
        </is>
      </c>
    </row>
    <row r="29" ht="20" customHeight="1">
      <c r="B29" s="3" t="inlineStr">
        <is>
          <t>(6) INTERCONNECTION QUEUES, NOT SOFTWARE SOPHISTICATION, ARE THE BINDING CONSTRAINT ON ADDRESSABLE MARKET GROWTH</t>
        </is>
      </c>
    </row>
    <row r="30" ht="60" customHeight="1">
      <c r="B30" s="4" t="inlineStr">
        <is>
          <r>
            <rPr>
              <rFont val="Calibri"/>
              <b val="1"/>
              <color rgb="002E2D29"/>
              <sz val="10"/>
            </rPr>
            <t xml:space="preserve">Fact: </t>
          </r>
          <r>
            <rPr>
              <rFont val="Calibri"/>
              <color rgb="002E2D29"/>
              <sz val="10"/>
            </rPr>
            <t>If a thesis assumes the installed and planned storage base (144 GW combined, per ERW's EIA-860M tables) converts into software-managed assets on schedule, the CAISO interconnection queue shows 1,764 of 2,278 tracked projects withdrawn versus only 262 active and 252 completed, meaning most projects entering the queue never reach the point of needing optimization software at all (not confirmed: 144, 860)</t>
          </r>
        </is>
      </c>
    </row>
    <row r="31" ht="30" customHeight="1">
      <c r="B31" s="4" t="inlineStr">
        <is>
          <r>
            <rPr>
              <rFont val="Calibri"/>
              <b val="1"/>
              <color rgb="002E2D29"/>
              <sz val="10"/>
            </rPr>
            <t xml:space="preserve">Not known: </t>
          </r>
          <r>
            <rPr>
              <rFont val="Calibri"/>
              <color rgb="002E2D29"/>
              <sz val="10"/>
            </rPr>
            <t>Specific FERC or ISO rule changes, interconnection timelines, or docket numbers that would clarify how much of the planned pipeline actually converts to operating, optimizable assets</t>
          </r>
        </is>
      </c>
    </row>
    <row r="32" ht="15" customHeight="1">
      <c r="B32" s="4" t="inlineStr">
        <is>
          <r>
            <rPr>
              <rFont val="Calibri"/>
              <b val="1"/>
              <i val="1"/>
              <color rgb="00808080"/>
              <sz val="10"/>
            </rPr>
            <t xml:space="preserve">Source(s): </t>
          </r>
          <r>
            <rPr>
              <rFont val="Calibri"/>
              <i val="1"/>
              <color rgb="00808080"/>
              <sz val="10"/>
            </rPr>
            <t>E6 ERW table caiso_interconnection_queue; S60 Energy Storage 2026, 16.5 GW US Growth in ERCOT &amp; CAISO - En</t>
          </r>
        </is>
      </c>
    </row>
    <row r="34" ht="20" customHeight="1">
      <c r="B34" s="3" t="inlineStr">
        <is>
          <t>(7) VENDOR-REPORTED ASSETS-UNDER-MANAGEMENT FIGURES MAY NOT EQUAL RECURRING, MONETIZABLE SOFTWARE RELATIONSHIPS</t>
        </is>
      </c>
    </row>
    <row r="35" ht="60" customHeight="1">
      <c r="B35" s="4" t="inlineStr">
        <is>
          <r>
            <rPr>
              <rFont val="Calibri"/>
              <b val="1"/>
              <color rgb="002E2D29"/>
              <sz val="10"/>
            </rPr>
            <t xml:space="preserve">Fact: </t>
          </r>
          <r>
            <rPr>
              <rFont val="Calibri"/>
              <color rgb="002E2D29"/>
              <sz val="10"/>
            </rPr>
            <t>A thesis built on AUM growth as a proxy for software revenue could overstate durability: Stem's contracted storage AUM grew by only 100MWh from 5.5GWh to 5.6GWh over a full year even as the company's total revenue fell sharply, showing AUM and revenue can diverge, and its own 10-K separately cites a much smaller 'nearly 2 GWh' figure for the following year, a decline whose cause is not explained in the filing excerpts available</t>
          </r>
        </is>
      </c>
    </row>
    <row r="36" ht="15" customHeight="1">
      <c r="B36" s="4" t="inlineStr">
        <is>
          <r>
            <rPr>
              <rFont val="Calibri"/>
              <b val="1"/>
              <color rgb="002E2D29"/>
              <sz val="10"/>
            </rPr>
            <t xml:space="preserve">Not known: </t>
          </r>
          <r>
            <rPr>
              <rFont val="Calibri"/>
              <color rgb="002E2D29"/>
              <sz val="10"/>
            </rPr>
            <t>Whether the AUM decline reflects customer churn, contract renegotiation, or a reporting definition change</t>
          </r>
        </is>
      </c>
    </row>
    <row r="37" ht="30" customHeight="1">
      <c r="B37" s="4" t="inlineStr">
        <is>
          <r>
            <rPr>
              <rFont val="Calibri"/>
              <b val="1"/>
              <i val="1"/>
              <color rgb="00808080"/>
              <sz val="10"/>
            </rPr>
            <t xml:space="preserve">Source(s): </t>
          </r>
          <r>
            <rPr>
              <rFont val="Calibri"/>
              <i val="1"/>
              <color rgb="00808080"/>
              <sz val="10"/>
            </rPr>
            <t>S28 Stem revenue down 69% in 2024 amid strategic shift away from; S35 Stem shifts to software-led model after restructuring | STEM</t>
          </r>
        </is>
      </c>
    </row>
    <row r="39" ht="20" customHeight="1">
      <c r="B39" s="3" t="inlineStr">
        <is>
          <t>(8) REGULATORY REDESIGN OF THE MARKET ITSELF CAN REWRITE THE OPTIMIZATION PROBLEM OVERNIGHT</t>
        </is>
      </c>
    </row>
    <row r="40" ht="60" customHeight="1">
      <c r="B40" s="4" t="inlineStr">
        <is>
          <r>
            <rPr>
              <rFont val="Calibri"/>
              <b val="1"/>
              <color rgb="002E2D29"/>
              <sz val="10"/>
            </rPr>
            <t xml:space="preserve">Fact: </t>
          </r>
          <r>
            <rPr>
              <rFont val="Calibri"/>
              <color rgb="002E2D29"/>
              <sz val="10"/>
            </rPr>
            <t>ERCOT's RTC+B program, described as the biggest change to the market in 15 years, integrates ancillary services into the real-time market rather than the day-ahead market, which changes what any vendor's existing bidding algorithms were built to solve; a thesis assuming stable market rules underestimates this switching cost and re-optimization risk (not confirmed: 15)</t>
          </r>
        </is>
      </c>
    </row>
    <row r="41" ht="30" customHeight="1">
      <c r="B41" s="4" t="inlineStr">
        <is>
          <r>
            <rPr>
              <rFont val="Calibri"/>
              <b val="1"/>
              <color rgb="002E2D29"/>
              <sz val="10"/>
            </rPr>
            <t xml:space="preserve">Not known: </t>
          </r>
          <r>
            <rPr>
              <rFont val="Calibri"/>
              <color rgb="002E2D29"/>
              <sz val="10"/>
            </rPr>
            <t>Specific FERC order numbers, other ISOs' analogous rule-change timelines, or how vendors' algorithms have adapted post-RTC+B, none of which are available in these sources</t>
          </r>
        </is>
      </c>
    </row>
    <row r="42" ht="30" customHeight="1">
      <c r="B42" s="4" t="inlineStr">
        <is>
          <r>
            <rPr>
              <rFont val="Calibri"/>
              <b val="1"/>
              <i val="1"/>
              <color rgb="00808080"/>
              <sz val="10"/>
            </rPr>
            <t xml:space="preserve">Source(s): </t>
          </r>
          <r>
            <rPr>
              <rFont val="Calibri"/>
              <i val="1"/>
              <color rgb="00808080"/>
              <sz val="10"/>
            </rPr>
            <t>S55 ERCOT Energy Storage 2026, $139.6M es Volta Financing; S58 What to know about ERCOT's new RTC+B program - Energy Storag</t>
          </r>
        </is>
      </c>
    </row>
  </sheetData>
  <mergeCells count="32">
    <mergeCell ref="B7:I7"/>
    <mergeCell ref="B25:I25"/>
    <mergeCell ref="B16:I16"/>
    <mergeCell ref="B22:I22"/>
    <mergeCell ref="B31:I31"/>
    <mergeCell ref="B27:I27"/>
    <mergeCell ref="B12:I12"/>
    <mergeCell ref="B21:I21"/>
    <mergeCell ref="B39:I39"/>
    <mergeCell ref="B11:I11"/>
    <mergeCell ref="B42:I42"/>
    <mergeCell ref="B14:I14"/>
    <mergeCell ref="B17:I17"/>
    <mergeCell ref="B35:I35"/>
    <mergeCell ref="B29:I29"/>
    <mergeCell ref="B34:I34"/>
    <mergeCell ref="B10:I10"/>
    <mergeCell ref="B19:I19"/>
    <mergeCell ref="B37:I37"/>
    <mergeCell ref="B40:I40"/>
    <mergeCell ref="B9:I9"/>
    <mergeCell ref="B30:I30"/>
    <mergeCell ref="B15:I15"/>
    <mergeCell ref="B6:I6"/>
    <mergeCell ref="B24:I24"/>
    <mergeCell ref="B20:I20"/>
    <mergeCell ref="B5:I5"/>
    <mergeCell ref="B36:I36"/>
    <mergeCell ref="B41:I41"/>
    <mergeCell ref="B32:I32"/>
    <mergeCell ref="B4:I4"/>
    <mergeCell ref="B26:I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219"/>
  <sheetViews>
    <sheetView showGridLines="0" workbookViewId="0">
      <selection activeCell="A1" sqref="A1"/>
    </sheetView>
  </sheetViews>
  <sheetFormatPr baseColWidth="8" defaultRowHeight="15"/>
  <cols>
    <col width="2" customWidth="1" min="1" max="1"/>
    <col width="28" customWidth="1" min="2" max="2"/>
    <col width="26" customWidth="1" min="3" max="3"/>
    <col width="22" customWidth="1" min="4" max="4"/>
    <col width="18" customWidth="1" min="5" max="5"/>
    <col width="18" customWidth="1" min="6" max="6"/>
    <col width="18" customWidth="1" min="7" max="7"/>
    <col width="18" customWidth="1" min="8" max="8"/>
    <col width="18" customWidth="1" min="9" max="9"/>
    <col width="18" customWidth="1" min="10" max="10"/>
  </cols>
  <sheetData>
    <row r="1">
      <c r="B1" s="1" t="inlineStr">
        <is>
          <t>Sources</t>
        </is>
      </c>
    </row>
    <row r="2">
      <c r="B2" s="2" t="inlineStr">
        <is>
          <t>grid-scale battery storage software for merchant operators</t>
        </is>
      </c>
    </row>
    <row r="4" ht="20" customHeight="1">
      <c r="B4" s="3" t="inlineStr">
        <is>
          <t>(1) EVERY SOURCE, ITS RETRIEVAL DATE AND THE CELLS IT SUPPORTS</t>
        </is>
      </c>
    </row>
    <row r="5">
      <c r="B5" s="5" t="inlineStr">
        <is>
          <t>Id</t>
        </is>
      </c>
      <c r="C5" s="5" t="inlineStr">
        <is>
          <t>Title</t>
        </is>
      </c>
      <c r="D5" s="5" t="inlineStr">
        <is>
          <t>URL</t>
        </is>
      </c>
      <c r="E5" s="5" t="inlineStr">
        <is>
          <t>Retrieved</t>
        </is>
      </c>
      <c r="F5" s="5" t="inlineStr">
        <is>
          <t>Page age</t>
        </is>
      </c>
      <c r="G5" s="5" t="inlineStr">
        <is>
          <t>Cells it supports</t>
        </is>
      </c>
    </row>
    <row r="6">
      <c r="B6" s="6" t="inlineStr">
        <is>
          <t>S1</t>
        </is>
      </c>
      <c r="C6" s="6" t="inlineStr">
        <is>
          <t>Cloud-Linked BMS Optimization Software Market Report, 2035</t>
        </is>
      </c>
      <c r="D6" s="6" t="inlineStr">
        <is>
          <t>https://www.gminsights.com/industry-analysis/cloud-linked-battery-management-system-bms-optimization-software-market</t>
        </is>
      </c>
      <c r="E6" s="6" t="inlineStr">
        <is>
          <t>2026-09-28</t>
        </is>
      </c>
      <c r="F6" s="6" t="inlineStr">
        <is>
          <t>May 1, 2026</t>
        </is>
      </c>
      <c r="G6" s="6" t="inlineStr">
        <is>
          <t>searched, not cited in a cell</t>
        </is>
      </c>
    </row>
    <row r="7">
      <c r="B7" s="7" t="inlineStr">
        <is>
          <t>S2</t>
        </is>
      </c>
      <c r="C7" s="7" t="inlineStr">
        <is>
          <t>Cloud-Linked Battery Management System (BMS) Optimization Software Market Opportunity, Growth Drivers, Industry Trend Analysis, and Forecast 2026-2035</t>
        </is>
      </c>
      <c r="D7" s="7" t="inlineStr">
        <is>
          <t>https://www.researchandmarkets.com/reports/6244272/cloud-linked-battery-management-system-bms</t>
        </is>
      </c>
      <c r="E7" s="7" t="inlineStr">
        <is>
          <t>2026-09-28</t>
        </is>
      </c>
      <c r="F7" s="7" t="inlineStr"/>
      <c r="G7" s="7" t="inlineStr">
        <is>
          <t>searched, not cited in a cell</t>
        </is>
      </c>
    </row>
    <row r="8">
      <c r="B8" s="6" t="inlineStr">
        <is>
          <t>S3</t>
        </is>
      </c>
      <c r="C8" s="6" t="inlineStr">
        <is>
          <t>Battery storage optimization for maximum revenue | enspired</t>
        </is>
      </c>
      <c r="D8" s="6" t="inlineStr">
        <is>
          <t>https://www.enspired-trading.com/bess</t>
        </is>
      </c>
      <c r="E8" s="6" t="inlineStr">
        <is>
          <t>2026-09-28</t>
        </is>
      </c>
      <c r="F8" s="6" t="inlineStr"/>
      <c r="G8" s="6" t="inlineStr">
        <is>
          <t>searched, not cited in a cell</t>
        </is>
      </c>
    </row>
    <row r="9">
      <c r="B9" s="7" t="inlineStr">
        <is>
          <t>S4</t>
        </is>
      </c>
      <c r="C9" s="7" t="inlineStr">
        <is>
          <t>Energy Storage Optimization Market Size, Share &amp; Growth Report, 2035</t>
        </is>
      </c>
      <c r="D9" s="7" t="inlineStr">
        <is>
          <t>https://www.snsinsider.com/reports/energy-storage-optimization-market-10982</t>
        </is>
      </c>
      <c r="E9" s="7" t="inlineStr">
        <is>
          <t>2026-09-28</t>
        </is>
      </c>
      <c r="F9" s="7" t="inlineStr">
        <is>
          <t>4 weeks ago</t>
        </is>
      </c>
      <c r="G9" s="7" t="inlineStr">
        <is>
          <t>searched, not cited in a cell</t>
        </is>
      </c>
    </row>
    <row r="10">
      <c r="B10" s="6" t="inlineStr">
        <is>
          <t>S5</t>
        </is>
      </c>
      <c r="C10" s="6" t="inlineStr">
        <is>
          <t>Battery Energy Storage System Market Forecast 2026-2036</t>
        </is>
      </c>
      <c r="D10" s="6" t="inlineStr">
        <is>
          <t>https://www.futuremarketinsights.com/reports/battery-energy-storage-system-market</t>
        </is>
      </c>
      <c r="E10" s="6" t="inlineStr">
        <is>
          <t>2026-09-28</t>
        </is>
      </c>
      <c r="F10" s="6" t="inlineStr">
        <is>
          <t>May 18, 2026</t>
        </is>
      </c>
      <c r="G10" s="6" t="inlineStr">
        <is>
          <t>searched, not cited in a cell</t>
        </is>
      </c>
    </row>
    <row r="11">
      <c r="B11" s="7" t="inlineStr">
        <is>
          <t>S6</t>
        </is>
      </c>
      <c r="C11" s="7" t="inlineStr">
        <is>
          <t>Energy Storage Market Size &amp; Industry Report 2031</t>
        </is>
      </c>
      <c r="D11" s="7" t="inlineStr">
        <is>
          <t>https://www.mordorintelligence.com/industry-reports/energy-storage-market</t>
        </is>
      </c>
      <c r="E11" s="7" t="inlineStr">
        <is>
          <t>2026-09-28</t>
        </is>
      </c>
      <c r="F11" s="7" t="inlineStr">
        <is>
          <t>July 28, 2026</t>
        </is>
      </c>
      <c r="G11" s="7" t="inlineStr">
        <is>
          <t>searched, not cited in a cell</t>
        </is>
      </c>
    </row>
    <row r="12">
      <c r="B12" s="6" t="inlineStr">
        <is>
          <t>S7</t>
        </is>
      </c>
      <c r="C12" s="6" t="inlineStr">
        <is>
          <t>Battery Energy Storage System Market Size &amp; Share 2026-2032</t>
        </is>
      </c>
      <c r="D12" s="6" t="inlineStr">
        <is>
          <t>https://www.360iresearch.com/library/intelligence/battery-energy-storage-system</t>
        </is>
      </c>
      <c r="E12" s="6" t="inlineStr">
        <is>
          <t>2026-09-28</t>
        </is>
      </c>
      <c r="F12" s="6" t="inlineStr">
        <is>
          <t>February 7, 2026</t>
        </is>
      </c>
      <c r="G12" s="6" t="inlineStr">
        <is>
          <t>searched, not cited in a cell</t>
        </is>
      </c>
    </row>
    <row r="13">
      <c r="B13" s="7" t="inlineStr">
        <is>
          <t>S8</t>
        </is>
      </c>
      <c r="C13" s="7" t="inlineStr">
        <is>
          <t>Energy Storage Software Market Growth 2026-2035</t>
        </is>
      </c>
      <c r="D13" s="7" t="inlineStr">
        <is>
          <t>https://www.globalgrowthinsights.com/market-reports/energy-storage-software-market-114866</t>
        </is>
      </c>
      <c r="E13" s="7" t="inlineStr">
        <is>
          <t>2026-09-28</t>
        </is>
      </c>
      <c r="F13" s="7" t="inlineStr">
        <is>
          <t>July 17, 2026</t>
        </is>
      </c>
      <c r="G13" s="7" t="inlineStr">
        <is>
          <t>'Fundamentals'!B19:F19; 'Fundamentals'!B27</t>
        </is>
      </c>
    </row>
    <row r="14">
      <c r="B14" s="6" t="inlineStr">
        <is>
          <t>S9</t>
        </is>
      </c>
      <c r="C14" s="6" t="inlineStr">
        <is>
          <t>Battery Management System (BMS) Market Size, Analysis &amp; Competitive Landscape</t>
        </is>
      </c>
      <c r="D14" s="6" t="inlineStr">
        <is>
          <t>https://www.businessresearchinsights.com/market-reports/battery-management-system-bms-market-122181</t>
        </is>
      </c>
      <c r="E14" s="6" t="inlineStr">
        <is>
          <t>2026-09-28</t>
        </is>
      </c>
      <c r="F14" s="6" t="inlineStr"/>
      <c r="G14" s="6" t="inlineStr">
        <is>
          <t>searched, not cited in a cell</t>
        </is>
      </c>
    </row>
    <row r="15">
      <c r="B15" s="7" t="inlineStr">
        <is>
          <t>S10</t>
        </is>
      </c>
      <c r="C15" s="7" t="inlineStr">
        <is>
          <t>Fluence revenue up 154% but margin halves in last three months of 2025 - Energy-Storage.News</t>
        </is>
      </c>
      <c r="D15" s="7" t="inlineStr">
        <is>
          <t>https://www.energy-storage.news/fluence-revenue-up-154-but-margin-halves-in-last-three-months-of-2025/</t>
        </is>
      </c>
      <c r="E15" s="7" t="inlineStr">
        <is>
          <t>2026-09-28</t>
        </is>
      </c>
      <c r="F15" s="7" t="inlineStr">
        <is>
          <t>February 5, 2026</t>
        </is>
      </c>
      <c r="G15" s="7" t="inlineStr">
        <is>
          <t>searched, not cited in a cell</t>
        </is>
      </c>
    </row>
    <row r="16">
      <c r="B16" s="6" t="inlineStr">
        <is>
          <t>S11</t>
        </is>
      </c>
      <c r="C16" s="6" t="inlineStr">
        <is>
          <t>Fluence Energy, Inc. Reports First Quarter 2025 Results; Lowers Full Year 2025 Guidance; Reports Record $5.1 Billion Backlog | Fluence</t>
        </is>
      </c>
      <c r="D16" s="6" t="inlineStr">
        <is>
          <t>https://ir.fluenceenergy.com/news-releases/news-release-details/fluence-energy-inc-reports-first-quarter-2025-results-lowers</t>
        </is>
      </c>
      <c r="E16" s="6" t="inlineStr">
        <is>
          <t>2026-09-28</t>
        </is>
      </c>
      <c r="F16" s="6" t="inlineStr"/>
      <c r="G16" s="6" t="inlineStr">
        <is>
          <t>searched, not cited in a cell</t>
        </is>
      </c>
    </row>
    <row r="17">
      <c r="B17" s="7" t="inlineStr">
        <is>
          <t>S12</t>
        </is>
      </c>
      <c r="C17" s="7" t="inlineStr">
        <is>
          <t>Fluence 'expects to meet FEOC compliance by regulatory deadlines,' offers 2026 guidance - Energy-Storage.News</t>
        </is>
      </c>
      <c r="D17" s="7" t="inlineStr">
        <is>
          <t>https://www.energy-storage.news/fluence-expects-to-meet-feoc-compliance-by-regulatory-deadlines-offers-2026-guidance/</t>
        </is>
      </c>
      <c r="E17" s="7" t="inlineStr">
        <is>
          <t>2026-09-28</t>
        </is>
      </c>
      <c r="F17" s="7" t="inlineStr">
        <is>
          <t>November 26, 2025</t>
        </is>
      </c>
      <c r="G17" s="7" t="inlineStr">
        <is>
          <t>'Fundamentals'!B20:F20; 'Fundamentals'!B27</t>
        </is>
      </c>
    </row>
    <row r="18">
      <c r="B18" s="6" t="inlineStr">
        <is>
          <t>S13</t>
        </is>
      </c>
      <c r="C18" s="6" t="inlineStr">
        <is>
          <t>Fluence Energy, Inc. SEC 10-K Report — TradingView News</t>
        </is>
      </c>
      <c r="D18" s="6" t="inlineStr">
        <is>
          <t>https://www.tradingview.com/news/tradingview:6232490036556:0-fluence-energy-inc-sec-10-k-report/</t>
        </is>
      </c>
      <c r="E18" s="6" t="inlineStr">
        <is>
          <t>2026-09-28</t>
        </is>
      </c>
      <c r="F18" s="6" t="inlineStr">
        <is>
          <t>November 25, 2025</t>
        </is>
      </c>
      <c r="G18" s="6" t="inlineStr">
        <is>
          <t>searched, not cited in a cell</t>
        </is>
      </c>
    </row>
    <row r="19">
      <c r="B19" s="7" t="inlineStr">
        <is>
          <t>S14</t>
        </is>
      </c>
      <c r="C19" s="7" t="inlineStr">
        <is>
          <t>Fluence Energy, Inc. Reports First Quarter 2026 Results</t>
        </is>
      </c>
      <c r="D19" s="7" t="inlineStr">
        <is>
          <t>https://ir.fluenceenergy.com/node/10686/pdf</t>
        </is>
      </c>
      <c r="E19" s="7" t="inlineStr">
        <is>
          <t>2026-09-28</t>
        </is>
      </c>
      <c r="F19" s="7" t="inlineStr">
        <is>
          <t>February 4, 2026</t>
        </is>
      </c>
      <c r="G19" s="7" t="inlineStr">
        <is>
          <t>'Incumbents'!B9:H9; 'Incumbents'!B16</t>
        </is>
      </c>
    </row>
    <row r="20">
      <c r="B20" s="6" t="inlineStr">
        <is>
          <t>S15</t>
        </is>
      </c>
      <c r="C20" s="6" t="inlineStr">
        <is>
          <t>Fluence Energy, Inc. Reports 2025 Financial Results and Initiates 2026 Guidance | Fluence</t>
        </is>
      </c>
      <c r="D20" s="6" t="inlineStr">
        <is>
          <t>https://ir.fluenceenergy.com/news-releases/news-release-details/fluence-energy-inc-reports-2025-financial-results-and-initiates</t>
        </is>
      </c>
      <c r="E20" s="6" t="inlineStr">
        <is>
          <t>2026-09-28</t>
        </is>
      </c>
      <c r="F20" s="6" t="inlineStr"/>
      <c r="G20" s="6" t="inlineStr">
        <is>
          <t>searched, not cited in a cell</t>
        </is>
      </c>
    </row>
    <row r="21">
      <c r="B21" s="7" t="inlineStr">
        <is>
          <t>S16</t>
        </is>
      </c>
      <c r="C21" s="7" t="inlineStr">
        <is>
          <t>Fluence Named a Leading Global Battery Energy Storage Provider in S&amp;P Global Commodity Insights Report | Fluence</t>
        </is>
      </c>
      <c r="D21" s="7" t="inlineStr">
        <is>
          <t>https://ir.fluenceenergy.com/news-releases/news-release-details/fluence-named-leading-global-battery-energy-storage-provider-sp</t>
        </is>
      </c>
      <c r="E21" s="7" t="inlineStr">
        <is>
          <t>2026-09-28</t>
        </is>
      </c>
      <c r="F21" s="7" t="inlineStr">
        <is>
          <t>December 11, 2025</t>
        </is>
      </c>
      <c r="G21" s="7" t="inlineStr">
        <is>
          <t>searched, not cited in a cell</t>
        </is>
      </c>
    </row>
    <row r="22">
      <c r="B22" s="6" t="inlineStr">
        <is>
          <t>S17</t>
        </is>
      </c>
      <c r="C22" s="6" t="inlineStr">
        <is>
          <t>Fluence Energy: A BESS (Battery Energy Storage Systems) play — NurtureWealth Capital</t>
        </is>
      </c>
      <c r="D22" s="6" t="inlineStr">
        <is>
          <t>https://www.nurturewealthfunds.com/blog/flnc</t>
        </is>
      </c>
      <c r="E22" s="6" t="inlineStr">
        <is>
          <t>2026-09-28</t>
        </is>
      </c>
      <c r="F22" s="6" t="inlineStr">
        <is>
          <t>January 26, 2025</t>
        </is>
      </c>
      <c r="G22" s="6" t="inlineStr">
        <is>
          <t>searched, not cited in a cell</t>
        </is>
      </c>
    </row>
    <row r="23">
      <c r="B23" s="7" t="inlineStr">
        <is>
          <t>S18</t>
        </is>
      </c>
      <c r="C23" s="7" t="inlineStr">
        <is>
          <t>Fluence Energy FY2025 Annual Results: Revenue Down 16% to $2.3B as Battery Prices Decline, Net Loss Returns</t>
        </is>
      </c>
      <c r="D23" s="7" t="inlineStr">
        <is>
          <t>https://bessmanufacturers.com/resources/fluence-energy-2025-annual-results-energy-storage/</t>
        </is>
      </c>
      <c r="E23" s="7" t="inlineStr">
        <is>
          <t>2026-09-28</t>
        </is>
      </c>
      <c r="F23" s="7" t="inlineStr">
        <is>
          <t>July 21, 2026</t>
        </is>
      </c>
      <c r="G23" s="7" t="inlineStr">
        <is>
          <t>'Scope'!B6; 'Scope'!B11:C11; 'Scope'!B16; 'Landscape'!B14:J14; 'Landscape'!B16</t>
        </is>
      </c>
    </row>
    <row r="24">
      <c r="B24" s="6" t="inlineStr">
        <is>
          <t>S19</t>
        </is>
      </c>
      <c r="C24" s="6" t="inlineStr">
        <is>
          <t>Habitat Energy - Crunchbase Company Profile &amp; Funding</t>
        </is>
      </c>
      <c r="D24" s="6" t="inlineStr">
        <is>
          <t>https://www.crunchbase.com/organization/habitat-energy</t>
        </is>
      </c>
      <c r="E24" s="6" t="inlineStr">
        <is>
          <t>2026-09-28</t>
        </is>
      </c>
      <c r="F24" s="6" t="inlineStr"/>
      <c r="G24" s="6" t="inlineStr">
        <is>
          <t>'Landscape'!B8:J8; 'Landscape'!B16</t>
        </is>
      </c>
    </row>
    <row r="25">
      <c r="B25" s="7" t="inlineStr">
        <is>
          <t>S20</t>
        </is>
      </c>
      <c r="C25" s="7" t="inlineStr">
        <is>
          <t>Canadian Solar invests in battery storage software company Habitat Energy - PV Tech</t>
        </is>
      </c>
      <c r="D25" s="7" t="inlineStr">
        <is>
          <t>https://www.pv-tech.org/canadian-solar-invests-in-battery-storage-software-company-habitat-energy/</t>
        </is>
      </c>
      <c r="E25" s="7" t="inlineStr">
        <is>
          <t>2026-09-28</t>
        </is>
      </c>
      <c r="F25" s="7" t="inlineStr">
        <is>
          <t>August 20, 2021</t>
        </is>
      </c>
      <c r="G25" s="7" t="inlineStr">
        <is>
          <t>'Landscape'!B8:J8; 'Landscape'!B16</t>
        </is>
      </c>
    </row>
    <row r="26">
      <c r="B26" s="6" t="inlineStr">
        <is>
          <t>S21</t>
        </is>
      </c>
      <c r="C26" s="6" t="inlineStr">
        <is>
          <t>Habitat Energy signs partnership for major expansion into US market - Solar Power Portal</t>
        </is>
      </c>
      <c r="D26" s="6" t="inlineStr">
        <is>
          <t>https://www.solarpowerportal.co.uk/battery-storage/habitat-energy-signs-partnership-for-major-expansion-into-us-market</t>
        </is>
      </c>
      <c r="E26" s="6" t="inlineStr">
        <is>
          <t>2026-09-28</t>
        </is>
      </c>
      <c r="F26" s="6" t="inlineStr">
        <is>
          <t>July 28, 2025</t>
        </is>
      </c>
      <c r="G26" s="6" t="inlineStr">
        <is>
          <t>searched, not cited in a cell</t>
        </is>
      </c>
    </row>
    <row r="27">
      <c r="B27" s="7" t="inlineStr">
        <is>
          <t>S22</t>
        </is>
      </c>
      <c r="C27" s="7" t="inlineStr">
        <is>
          <t>Habitat Energy 2026 Company Profile: Valuation, Funding &amp; Investors | PitchBook</t>
        </is>
      </c>
      <c r="D27" s="7" t="inlineStr">
        <is>
          <t>https://pitchbook.com/profiles/company/436154-77</t>
        </is>
      </c>
      <c r="E27" s="7" t="inlineStr">
        <is>
          <t>2026-09-28</t>
        </is>
      </c>
      <c r="F27" s="7" t="inlineStr"/>
      <c r="G27" s="7" t="inlineStr">
        <is>
          <t>'Scope'!B6; 'Landscape'!B8:J8; 'Landscape'!B16; 'Risks'!B27</t>
        </is>
      </c>
    </row>
    <row r="28">
      <c r="B28" s="6" t="inlineStr">
        <is>
          <t>S23</t>
        </is>
      </c>
      <c r="C28" s="6" t="inlineStr">
        <is>
          <t>Habitat Energy launches US Battery storage optimization platform — Quinbrook</t>
        </is>
      </c>
      <c r="D28" s="6" t="inlineStr">
        <is>
          <t>https://www.quinbrook.com/news-insights/habitat-energy-launches-us-battery-storage-optimization-platform/</t>
        </is>
      </c>
      <c r="E28" s="6" t="inlineStr">
        <is>
          <t>2026-09-28</t>
        </is>
      </c>
      <c r="F28" s="6" t="inlineStr">
        <is>
          <t>December 22, 2025</t>
        </is>
      </c>
      <c r="G28" s="6" t="inlineStr">
        <is>
          <t>'Scope'!B13:C13; 'Scope'!B16; 'Landscape'!B8:J8; 'Landscape'!B16</t>
        </is>
      </c>
    </row>
    <row r="29">
      <c r="B29" s="7" t="inlineStr">
        <is>
          <t>S24</t>
        </is>
      </c>
      <c r="C29" s="7" t="inlineStr">
        <is>
          <t>Homepage - Habitat Energy</t>
        </is>
      </c>
      <c r="D29" s="7" t="inlineStr">
        <is>
          <t>https://habitat.energy/</t>
        </is>
      </c>
      <c r="E29" s="7" t="inlineStr">
        <is>
          <t>2026-09-28</t>
        </is>
      </c>
      <c r="F29" s="7" t="inlineStr">
        <is>
          <t>April 14, 2026</t>
        </is>
      </c>
      <c r="G29" s="7" t="inlineStr">
        <is>
          <t>searched, not cited in a cell</t>
        </is>
      </c>
    </row>
    <row r="30">
      <c r="B30" s="6" t="inlineStr">
        <is>
          <t>S25</t>
        </is>
      </c>
      <c r="C30" s="6" t="inlineStr">
        <is>
          <t>What we do - Habitat Energy</t>
        </is>
      </c>
      <c r="D30" s="6" t="inlineStr">
        <is>
          <t>https://habitat.energy/what-we-do/</t>
        </is>
      </c>
      <c r="E30" s="6" t="inlineStr">
        <is>
          <t>2026-09-28</t>
        </is>
      </c>
      <c r="F30" s="6" t="inlineStr">
        <is>
          <t>March 28, 2025</t>
        </is>
      </c>
      <c r="G30" s="6" t="inlineStr">
        <is>
          <t>'Scope'!B6; 'Scope'!B13:C13; 'Scope'!B16; 'Landscape'!B8:J8; 'Landscape'!B16</t>
        </is>
      </c>
    </row>
    <row r="31">
      <c r="B31" s="7" t="inlineStr">
        <is>
          <t>S26</t>
        </is>
      </c>
      <c r="C31" s="7" t="inlineStr">
        <is>
          <t>habitat energy</t>
        </is>
      </c>
      <c r="D31" s="7" t="inlineStr">
        <is>
          <t>https://www.cbinsights.com/investor/habitat-energy</t>
        </is>
      </c>
      <c r="E31" s="7" t="inlineStr">
        <is>
          <t>2026-09-28</t>
        </is>
      </c>
      <c r="F31" s="7" t="inlineStr"/>
      <c r="G31" s="7" t="inlineStr">
        <is>
          <t>searched, not cited in a cell</t>
        </is>
      </c>
    </row>
    <row r="32">
      <c r="B32" s="6" t="inlineStr">
        <is>
          <t>S27</t>
        </is>
      </c>
      <c r="C32" s="6" t="inlineStr">
        <is>
          <t>habitat energy</t>
        </is>
      </c>
      <c r="D32" s="6" t="inlineStr">
        <is>
          <t>https://www.cbinsights.com/company/habitat-energy</t>
        </is>
      </c>
      <c r="E32" s="6" t="inlineStr">
        <is>
          <t>2026-09-28</t>
        </is>
      </c>
      <c r="F32" s="6" t="inlineStr"/>
      <c r="G32" s="6" t="inlineStr">
        <is>
          <t>searched, not cited in a cell</t>
        </is>
      </c>
    </row>
    <row r="33">
      <c r="B33" s="7" t="inlineStr">
        <is>
          <t>S28</t>
        </is>
      </c>
      <c r="C33" s="7" t="inlineStr">
        <is>
          <t>Stem revenue down 69% in 2024 amid strategic shift away from battery hardware - Energy-Storage.News</t>
        </is>
      </c>
      <c r="D33" s="7" t="inlineStr">
        <is>
          <t>https://www.energy-storage.news/stem-revenue-down-69-in-2024-amid-strategic-shift-away-from-battery-hardware/</t>
        </is>
      </c>
      <c r="E33" s="7" t="inlineStr">
        <is>
          <t>2026-09-28</t>
        </is>
      </c>
      <c r="F33" s="7" t="inlineStr">
        <is>
          <t>March 12, 2025</t>
        </is>
      </c>
      <c r="G33" s="7" t="inlineStr">
        <is>
          <t>'Landscape'!B15:J15; 'Landscape'!B16; 'Incumbents'!B14:H14; 'Incumbents'!B16; 'Risks'!B37</t>
        </is>
      </c>
    </row>
    <row r="34">
      <c r="B34" s="6" t="inlineStr">
        <is>
          <t>S29</t>
        </is>
      </c>
      <c r="C34" s="6" t="inlineStr">
        <is>
          <t>Stem revenue falls sharply due to bad debt charge, lower battery hardware bookings | Utility Dive</t>
        </is>
      </c>
      <c r="D34" s="6" t="inlineStr">
        <is>
          <t>https://www.utilitydive.com/news/stem-third-quarter-earnings-strategy-solar-battery/731878/</t>
        </is>
      </c>
      <c r="E34" s="6" t="inlineStr">
        <is>
          <t>2026-09-28</t>
        </is>
      </c>
      <c r="F34" s="6" t="inlineStr">
        <is>
          <t>November 4, 2024</t>
        </is>
      </c>
      <c r="G34" s="6" t="inlineStr">
        <is>
          <t>searched, not cited in a cell</t>
        </is>
      </c>
    </row>
    <row r="35">
      <c r="B35" s="7" t="inlineStr">
        <is>
          <t>S30</t>
        </is>
      </c>
      <c r="C35" s="7" t="inlineStr">
        <is>
          <t>Stem 2026 Company Profile: Stock Performance &amp; Earnings | PitchBook</t>
        </is>
      </c>
      <c r="D35" s="7" t="inlineStr">
        <is>
          <t>https://pitchbook.com/profiles/company/54221-05</t>
        </is>
      </c>
      <c r="E35" s="7" t="inlineStr">
        <is>
          <t>2026-09-28</t>
        </is>
      </c>
      <c r="F35" s="7" t="inlineStr"/>
      <c r="G35" s="7" t="inlineStr">
        <is>
          <t>searched, not cited in a cell</t>
        </is>
      </c>
    </row>
    <row r="36">
      <c r="B36" s="6" t="inlineStr">
        <is>
          <t>S31</t>
        </is>
      </c>
      <c r="C36" s="6" t="inlineStr">
        <is>
          <t>Stem Inc profits increase as pivot from battery storage to software and services continues - Energy-Storage.News</t>
        </is>
      </c>
      <c r="D36" s="6" t="inlineStr">
        <is>
          <t>https://www.energy-storage.news/stem-inc-profits-increase-as-pivot-from-battery-storage-to-software-and-services-continues/</t>
        </is>
      </c>
      <c r="E36" s="6" t="inlineStr">
        <is>
          <t>2026-09-28</t>
        </is>
      </c>
      <c r="F36" s="6" t="inlineStr">
        <is>
          <t>May 5, 2025</t>
        </is>
      </c>
      <c r="G36" s="6" t="inlineStr">
        <is>
          <t>searched, not cited in a cell</t>
        </is>
      </c>
    </row>
    <row r="37">
      <c r="B37" s="7" t="inlineStr">
        <is>
          <t>S32</t>
        </is>
      </c>
      <c r="C37" s="7" t="inlineStr">
        <is>
          <t>Deep Dive - Stem, Inc. - by Jared Leary</t>
        </is>
      </c>
      <c r="D37" s="7" t="inlineStr">
        <is>
          <t>https://open.substack.com/pub/jaredleary/p/deep-dive-stem-inc?r=21awfj</t>
        </is>
      </c>
      <c r="E37" s="7" t="inlineStr">
        <is>
          <t>2026-09-28</t>
        </is>
      </c>
      <c r="F37" s="7" t="inlineStr">
        <is>
          <t>July 29, 2023</t>
        </is>
      </c>
      <c r="G37" s="7" t="inlineStr">
        <is>
          <t>searched, not cited in a cell</t>
        </is>
      </c>
    </row>
    <row r="38">
      <c r="B38" s="6" t="inlineStr">
        <is>
          <t>S33</t>
        </is>
      </c>
      <c r="C38" s="6" t="inlineStr">
        <is>
          <t>Athena™ Smart Energy Software The Leading AI-Driven Energy Management Software.</t>
        </is>
      </c>
      <c r="D38" s="6" t="inlineStr">
        <is>
          <t>https://www.stem.com/wp-content/uploads/2021/05/Stem-Solutions-Overview_Athena_May-2021_v10.pdf</t>
        </is>
      </c>
      <c r="E38" s="6" t="inlineStr">
        <is>
          <t>2026-09-28</t>
        </is>
      </c>
      <c r="F38" s="6" t="inlineStr"/>
      <c r="G38" s="6" t="inlineStr">
        <is>
          <t>searched, not cited in a cell</t>
        </is>
      </c>
    </row>
    <row r="39">
      <c r="B39" s="7" t="inlineStr">
        <is>
          <t>S34</t>
        </is>
      </c>
      <c r="C39" s="7" t="inlineStr">
        <is>
          <t>Stem, Inc. ($STEM): Assessing the Company's "Busted" Convertible Bonds</t>
        </is>
      </c>
      <c r="D39" s="7" t="inlineStr">
        <is>
          <t>https://www.junkbondinvestor.com/p/stem-inc-stem-assessing-the-companys</t>
        </is>
      </c>
      <c r="E39" s="7" t="inlineStr">
        <is>
          <t>2026-09-28</t>
        </is>
      </c>
      <c r="F39" s="7" t="inlineStr">
        <is>
          <t>May 10, 2024</t>
        </is>
      </c>
      <c r="G39" s="7" t="inlineStr">
        <is>
          <t>searched, not cited in a cell</t>
        </is>
      </c>
    </row>
    <row r="40">
      <c r="B40" s="6" t="inlineStr">
        <is>
          <t>S35</t>
        </is>
      </c>
      <c r="C40" s="6" t="inlineStr">
        <is>
          <t>Stem shifts to software-led model after restructuring | STEM SEC Filing - Form ARS</t>
        </is>
      </c>
      <c r="D40" s="6" t="inlineStr">
        <is>
          <t>https://www.stocktitan.net/sec-filings/STEM/ars-stem-inc-sec-filing-b087e73bead2.html</t>
        </is>
      </c>
      <c r="E40" s="6" t="inlineStr">
        <is>
          <t>2026-09-28</t>
        </is>
      </c>
      <c r="F40" s="6" t="inlineStr">
        <is>
          <t>April 24, 2026</t>
        </is>
      </c>
      <c r="G40" s="6" t="inlineStr">
        <is>
          <t>'Fundamentals'!B22:F22; 'Fundamentals'!B27; 'Trends'!B129:C129; 'Trends'!B130:C130; 'Trends'!B131:C131; 'Trends'!B132:C132; 'Trends'!B133; 'Landscape'!B15:J15; 'Landscape'!B16; 'Incumbents'!B11:H11; 'Incumbents'!B12:H12; 'Incumbents'!B13:H13; 'Incumbents'!B16; 'Risks'!B37</t>
        </is>
      </c>
    </row>
    <row r="41">
      <c r="B41" s="7" t="inlineStr">
        <is>
          <t>S36</t>
        </is>
      </c>
      <c r="C41" s="7" t="inlineStr">
        <is>
          <t>What happened</t>
        </is>
      </c>
      <c r="D41" s="7" t="inlineStr">
        <is>
          <t>https://www.fool.com/investing/2021/11/10/why-stem-shares-jumped-today/</t>
        </is>
      </c>
      <c r="E41" s="7" t="inlineStr">
        <is>
          <t>2026-09-28</t>
        </is>
      </c>
      <c r="F41" s="7" t="inlineStr"/>
      <c r="G41" s="7" t="inlineStr">
        <is>
          <t>searched, not cited in a cell</t>
        </is>
      </c>
    </row>
    <row r="42">
      <c r="B42" s="6" t="inlineStr">
        <is>
          <t>S37</t>
        </is>
      </c>
      <c r="C42" s="6" t="inlineStr">
        <is>
          <t>Gridmatic Portfolio Investments, Gridmatic Funds, Gridmatic Exits</t>
        </is>
      </c>
      <c r="D42" s="6" t="inlineStr">
        <is>
          <t>https://www.cbinsights.com/investor/gridmatic</t>
        </is>
      </c>
      <c r="E42" s="6" t="inlineStr">
        <is>
          <t>2026-09-28</t>
        </is>
      </c>
      <c r="F42" s="6" t="inlineStr"/>
      <c r="G42" s="6" t="inlineStr">
        <is>
          <t>'Fundamentals'!B24:F24; 'Fundamentals'!B27; 'Landscape'!B10:J10; 'Landscape'!B16; 'Capital'!B10:H10; 'Capital'!B15; 'Risks'!B27</t>
        </is>
      </c>
    </row>
    <row r="43">
      <c r="B43" s="7" t="inlineStr">
        <is>
          <t>S38</t>
        </is>
      </c>
      <c r="C43" s="7" t="inlineStr">
        <is>
          <t>Gridmatic: AI-Enabled Power Marketer Company Raises $50 Million</t>
        </is>
      </c>
      <c r="D43" s="7" t="inlineStr">
        <is>
          <t>https://pulse2.com/gridmatic-50-million-funding/</t>
        </is>
      </c>
      <c r="E43" s="7" t="inlineStr">
        <is>
          <t>2026-09-28</t>
        </is>
      </c>
      <c r="F43" s="7" t="inlineStr">
        <is>
          <t>December 4, 2023</t>
        </is>
      </c>
      <c r="G43" s="7" t="inlineStr">
        <is>
          <t>searched, not cited in a cell</t>
        </is>
      </c>
    </row>
    <row r="44">
      <c r="B44" s="6" t="inlineStr">
        <is>
          <t>S39</t>
        </is>
      </c>
      <c r="C44" s="6" t="inlineStr">
        <is>
          <t>Gridmatic US$50 million fund to manage battery storage projects</t>
        </is>
      </c>
      <c r="D44" s="6" t="inlineStr">
        <is>
          <t>https://www.energy-storage.news/gridmatic-launches-us50-million-fund-to-manage-bess-projects-in-ercot-and-caiso/</t>
        </is>
      </c>
      <c r="E44" s="6" t="inlineStr">
        <is>
          <t>2026-09-28</t>
        </is>
      </c>
      <c r="F44" s="6" t="inlineStr">
        <is>
          <t>August 10, 2023</t>
        </is>
      </c>
      <c r="G44" s="6" t="inlineStr">
        <is>
          <t>'Scope'!B12:C12; 'Scope'!B16; 'Fundamentals'!B24:F24; 'Fundamentals'!B27; 'Landscape'!B10:J10; 'Landscape'!B16; 'Capital'!B10:H10; 'Capital'!B15; 'Risks'!B12</t>
        </is>
      </c>
    </row>
    <row r="45">
      <c r="B45" s="7" t="inlineStr">
        <is>
          <t>S40</t>
        </is>
      </c>
      <c r="C45" s="7" t="inlineStr">
        <is>
          <t>Gridmatic Closes $50 Million Energy Storage Fund, Underscoring Importance of AI to Optimizing Batteries - Gridmatic | Matt Wytock</t>
        </is>
      </c>
      <c r="D45" s="7" t="inlineStr">
        <is>
          <t>https://www.linkedin.com/posts/mwytock_gridmatic-closes-50-million-energy-storage-activity-7130591294782926849-VfsD</t>
        </is>
      </c>
      <c r="E45" s="7" t="inlineStr">
        <is>
          <t>2026-09-28</t>
        </is>
      </c>
      <c r="F45" s="7" t="inlineStr">
        <is>
          <t>November 15, 2023</t>
        </is>
      </c>
      <c r="G45" s="7" t="inlineStr">
        <is>
          <t>searched, not cited in a cell</t>
        </is>
      </c>
    </row>
    <row r="46">
      <c r="B46" s="6" t="inlineStr">
        <is>
          <t>S41</t>
        </is>
      </c>
      <c r="C46" s="6" t="inlineStr">
        <is>
          <t>Gridmatic - Crunchbase Company Profile &amp; Funding</t>
        </is>
      </c>
      <c r="D46" s="6" t="inlineStr">
        <is>
          <t>https://www.crunchbase.com/organization/gridmatic</t>
        </is>
      </c>
      <c r="E46" s="6" t="inlineStr">
        <is>
          <t>2026-09-28</t>
        </is>
      </c>
      <c r="F46" s="6" t="inlineStr"/>
      <c r="G46" s="6" t="inlineStr">
        <is>
          <t>searched, not cited in a cell</t>
        </is>
      </c>
    </row>
    <row r="47">
      <c r="B47" s="7" t="inlineStr">
        <is>
          <t>S42</t>
        </is>
      </c>
      <c r="C47" s="7" t="inlineStr">
        <is>
          <t>Gridmatic Closes $50 Million Energy Storage Fund, Underscoring Importance of AI to Optimizing Batteries - Gridmatic</t>
        </is>
      </c>
      <c r="D47" s="7" t="inlineStr">
        <is>
          <t>https://www.gridmatic.com/gridmatic-closes-50-million-energy-storage-fund-underscoring-importance-of-ai-to-optimizing-batteries/</t>
        </is>
      </c>
      <c r="E47" s="7" t="inlineStr">
        <is>
          <t>2026-09-28</t>
        </is>
      </c>
      <c r="F47" s="7" t="inlineStr">
        <is>
          <t>November 15, 2023</t>
        </is>
      </c>
      <c r="G47" s="7" t="inlineStr">
        <is>
          <t>searched, not cited in a cell</t>
        </is>
      </c>
    </row>
    <row r="48">
      <c r="B48" s="6" t="inlineStr">
        <is>
          <t>S43</t>
        </is>
      </c>
      <c r="C48" s="6" t="inlineStr">
        <is>
          <t>News | Gridmatic</t>
        </is>
      </c>
      <c r="D48" s="6" t="inlineStr">
        <is>
          <t>https://www.gridmatic.com/news/</t>
        </is>
      </c>
      <c r="E48" s="6" t="inlineStr">
        <is>
          <t>2026-09-28</t>
        </is>
      </c>
      <c r="F48" s="6" t="inlineStr"/>
      <c r="G48" s="6" t="inlineStr">
        <is>
          <t>searched, not cited in a cell</t>
        </is>
      </c>
    </row>
    <row r="49">
      <c r="B49" s="7" t="inlineStr">
        <is>
          <t>S44</t>
        </is>
      </c>
      <c r="C49" s="7" t="inlineStr">
        <is>
          <t>Gridmatic Unveils $50 Million Energy Storage Fund, Unlocking New Investment Opportunities in the Energy Sector - Gridmatic</t>
        </is>
      </c>
      <c r="D49" s="7" t="inlineStr">
        <is>
          <t>https://www.gridmatic.com/gridmatic-unveils-50-million-dollar-energy-storage-fund-unlocking-new-investment-opportunities-in-the-energy-sector/</t>
        </is>
      </c>
      <c r="E49" s="7" t="inlineStr">
        <is>
          <t>2026-09-28</t>
        </is>
      </c>
      <c r="F49" s="7" t="inlineStr">
        <is>
          <t>August 18, 2023</t>
        </is>
      </c>
      <c r="G49" s="7" t="inlineStr">
        <is>
          <t>searched, not cited in a cell</t>
        </is>
      </c>
    </row>
    <row r="50">
      <c r="B50" s="6" t="inlineStr">
        <is>
          <t>S45</t>
        </is>
      </c>
      <c r="C50" s="6" t="inlineStr">
        <is>
          <t>Gridmatic Launches $50M Storage Fund</t>
        </is>
      </c>
      <c r="D50" s="6" t="inlineStr">
        <is>
          <t>https://list.solar/news/gridmatic-launches/</t>
        </is>
      </c>
      <c r="E50" s="6" t="inlineStr">
        <is>
          <t>2026-09-28</t>
        </is>
      </c>
      <c r="F50" s="6" t="inlineStr">
        <is>
          <t>August 9, 2023</t>
        </is>
      </c>
      <c r="G50" s="6" t="inlineStr">
        <is>
          <t>searched, not cited in a cell</t>
        </is>
      </c>
    </row>
    <row r="51">
      <c r="B51" s="7" t="inlineStr">
        <is>
          <t>S46</t>
        </is>
      </c>
      <c r="C51" s="7" t="inlineStr">
        <is>
          <t>Schneider Electric set to acquire AutoGrid – pv magazine International</t>
        </is>
      </c>
      <c r="D51" s="7" t="inlineStr">
        <is>
          <t>https://www.pv-magazine.com/2022/05/12/schneider-electric-set-to-acquire-autogrid/</t>
        </is>
      </c>
      <c r="E51" s="7" t="inlineStr">
        <is>
          <t>2026-09-28</t>
        </is>
      </c>
      <c r="F51" s="7" t="inlineStr">
        <is>
          <t>May 12, 2022</t>
        </is>
      </c>
      <c r="G51" s="7" t="inlineStr">
        <is>
          <t>'Landscape'!B12:J12; 'Landscape'!B16; 'Capital'!B7:H7; 'Capital'!B15</t>
        </is>
      </c>
    </row>
    <row r="52">
      <c r="B52" s="6" t="inlineStr">
        <is>
          <t>S47</t>
        </is>
      </c>
      <c r="C52" s="6" t="inlineStr">
        <is>
          <t>Schneider Electric’s Acquisition of AutoGrid | Cravath, Swaine &amp; Moore LLP</t>
        </is>
      </c>
      <c r="D52" s="6" t="inlineStr">
        <is>
          <t>https://www.cravath.com/news-insights/schneider-electrics-acquisition-of-autogrid.html</t>
        </is>
      </c>
      <c r="E52" s="6" t="inlineStr">
        <is>
          <t>2026-09-28</t>
        </is>
      </c>
      <c r="F52" s="6" t="inlineStr">
        <is>
          <t>May 23, 2022</t>
        </is>
      </c>
      <c r="G52" s="6" t="inlineStr">
        <is>
          <t>searched, not cited in a cell</t>
        </is>
      </c>
    </row>
    <row r="53">
      <c r="B53" s="7" t="inlineStr">
        <is>
          <t>S48</t>
        </is>
      </c>
      <c r="C53" s="7" t="inlineStr">
        <is>
          <t>Schneider Electric to acquire AutoGrid, developer of AI for distributed energy resources - pv magazine USA</t>
        </is>
      </c>
      <c r="D53" s="7" t="inlineStr">
        <is>
          <t>https://pv-magazine-usa.com/2022/05/11/schneider-electric-to-acquire-autogrid-developer-of-ai-for-distributed-energy-resources/</t>
        </is>
      </c>
      <c r="E53" s="7" t="inlineStr">
        <is>
          <t>2026-09-28</t>
        </is>
      </c>
      <c r="F53" s="7" t="inlineStr">
        <is>
          <t>October 9, 2025</t>
        </is>
      </c>
      <c r="G53" s="7" t="inlineStr">
        <is>
          <t>'Landscape'!B12:J12; 'Landscape'!B16</t>
        </is>
      </c>
    </row>
    <row r="54">
      <c r="B54" s="6" t="inlineStr">
        <is>
          <t>S49</t>
        </is>
      </c>
      <c r="C54" s="6" t="inlineStr">
        <is>
          <t>Schneider Electric Acquires AutoGrid for an Undisclosed Amount - Mercom Capital Group</t>
        </is>
      </c>
      <c r="D54" s="6" t="inlineStr">
        <is>
          <t>https://mercomcapital.com/schneider-electric-acquires-autogrid-undisclosed/</t>
        </is>
      </c>
      <c r="E54" s="6" t="inlineStr">
        <is>
          <t>2026-09-28</t>
        </is>
      </c>
      <c r="F54" s="6" t="inlineStr">
        <is>
          <t>May 13, 2022</t>
        </is>
      </c>
      <c r="G54" s="6" t="inlineStr">
        <is>
          <t>'Landscape'!B12:J12; 'Landscape'!B16; 'Capital'!B7:H7; 'Capital'!B15; 'Incumbents'!B15:H15; 'Incumbents'!B16; 'Risks'!B17</t>
        </is>
      </c>
    </row>
    <row r="55">
      <c r="B55" s="7" t="inlineStr">
        <is>
          <t>S50</t>
        </is>
      </c>
      <c r="C55" s="7" t="inlineStr">
        <is>
          <t>Schneider Electric scoops up AutoGrid</t>
        </is>
      </c>
      <c r="D55" s="7" t="inlineStr">
        <is>
          <t>https://www.renewableenergyworld.com/power-grid/schneider-electric-scoops-up-autogrid/</t>
        </is>
      </c>
      <c r="E55" s="7" t="inlineStr">
        <is>
          <t>2026-09-28</t>
        </is>
      </c>
      <c r="F55" s="7" t="inlineStr">
        <is>
          <t>May 16, 2022</t>
        </is>
      </c>
      <c r="G55" s="7" t="inlineStr">
        <is>
          <t>searched, not cited in a cell</t>
        </is>
      </c>
    </row>
    <row r="56">
      <c r="B56" s="6" t="inlineStr">
        <is>
          <t>S51</t>
        </is>
      </c>
      <c r="C56" s="6" t="inlineStr">
        <is>
          <t>Climate-AI Pioneer AutoGrid to Be Acquired by Schneider Electric to Accelerate Energy Transition</t>
        </is>
      </c>
      <c r="D56" s="6" t="inlineStr">
        <is>
          <t>https://www.businesswire.com/news/home/20220511005251/en/Climate-AI-Pioneer-AutoGrid-to-Be-Acquired-by-Schneider-Electric-to-Accelerate-Energy-Transition</t>
        </is>
      </c>
      <c r="E56" s="6" t="inlineStr">
        <is>
          <t>2026-09-28</t>
        </is>
      </c>
      <c r="F56" s="6" t="inlineStr">
        <is>
          <t>May 11, 2022</t>
        </is>
      </c>
      <c r="G56" s="6" t="inlineStr">
        <is>
          <t>'Landscape'!B12:J12; 'Landscape'!B16</t>
        </is>
      </c>
    </row>
    <row r="57">
      <c r="B57" s="7" t="inlineStr">
        <is>
          <t>S52</t>
        </is>
      </c>
      <c r="C57" s="7" t="inlineStr">
        <is>
          <t>Schneider Electric to buy out AutoGrid, combining AI optimization with energy transition efforts - Daily Energy Insider</t>
        </is>
      </c>
      <c r="D57" s="7" t="inlineStr">
        <is>
          <t>https://dailyenergyinsider.com/news/34985-schneider-electric-to-buy-out-autogrid-combining-ai-optimization-with-energy-transition-efforts/</t>
        </is>
      </c>
      <c r="E57" s="7" t="inlineStr">
        <is>
          <t>2026-09-28</t>
        </is>
      </c>
      <c r="F57" s="7" t="inlineStr">
        <is>
          <t>May 12, 2022</t>
        </is>
      </c>
      <c r="G57" s="7" t="inlineStr">
        <is>
          <t>'Landscape'!B12:J12; 'Landscape'!B16</t>
        </is>
      </c>
    </row>
    <row r="58">
      <c r="B58" s="6" t="inlineStr">
        <is>
          <t>S53</t>
        </is>
      </c>
      <c r="C58" s="6" t="inlineStr">
        <is>
          <t>Energy transition: Autogrid announces its acquisition by Schneider Electric — ActuIA</t>
        </is>
      </c>
      <c r="D58" s="6" t="inlineStr">
        <is>
          <t>https://www.actuia.com/en/news/energy-transition-autogrid-announces-its-acquisition-by-schneider-electric</t>
        </is>
      </c>
      <c r="E58" s="6" t="inlineStr">
        <is>
          <t>2026-09-28</t>
        </is>
      </c>
      <c r="F58" s="6" t="inlineStr">
        <is>
          <t>February 14, 2025</t>
        </is>
      </c>
      <c r="G58" s="6" t="inlineStr">
        <is>
          <t>searched, not cited in a cell</t>
        </is>
      </c>
    </row>
    <row r="59">
      <c r="B59" s="7" t="inlineStr">
        <is>
          <t>S54</t>
        </is>
      </c>
      <c r="C59" s="7" t="inlineStr">
        <is>
          <t>Powering the Grid Smarter Schneider Electrics Acquisition of AutoGrid and the AI Edge in Energy</t>
        </is>
      </c>
      <c r="D59" s="7" t="inlineStr">
        <is>
          <t>https://www.cognitivemarketresearch.com/blog/powering-the-grid-smarter-schneider-electrics-acquisition-of-autogrid-and-the-ai-edge-in-energy</t>
        </is>
      </c>
      <c r="E59" s="7" t="inlineStr">
        <is>
          <t>2026-09-28</t>
        </is>
      </c>
      <c r="F59" s="7" t="inlineStr">
        <is>
          <t>June 10, 2025</t>
        </is>
      </c>
      <c r="G59" s="7" t="inlineStr">
        <is>
          <t>searched, not cited in a cell</t>
        </is>
      </c>
    </row>
    <row r="60">
      <c r="B60" s="6" t="inlineStr">
        <is>
          <t>S55</t>
        </is>
      </c>
      <c r="C60" s="6" t="inlineStr">
        <is>
          <t>ERCOT Energy Storage 2026, $139.6M es Volta Financing</t>
        </is>
      </c>
      <c r="D60" s="6" t="inlineStr">
        <is>
          <t>https://enkiai.com/policy-and-regulations/ercot-energy-storage-grid-reliability/</t>
        </is>
      </c>
      <c r="E60" s="6" t="inlineStr">
        <is>
          <t>2026-09-28</t>
        </is>
      </c>
      <c r="F60" s="6" t="inlineStr">
        <is>
          <t>August 19, 2026</t>
        </is>
      </c>
      <c r="G60" s="6" t="inlineStr">
        <is>
          <t>'Risks'!B12; 'Risks'!B22; 'Risks'!B42</t>
        </is>
      </c>
    </row>
    <row r="61">
      <c r="B61" s="7" t="inlineStr">
        <is>
          <t>S56</t>
        </is>
      </c>
      <c r="C61" s="7" t="inlineStr">
        <is>
          <t>ERCOT battery storage in 2026: 7 things to watch - Research | Modo Energy</t>
        </is>
      </c>
      <c r="D61" s="7" t="inlineStr">
        <is>
          <t>https://modoenergy.com/research/en/ercot-battery-storage-2026-things-to-watch</t>
        </is>
      </c>
      <c r="E61" s="7" t="inlineStr">
        <is>
          <t>2026-09-28</t>
        </is>
      </c>
      <c r="F61" s="7" t="inlineStr">
        <is>
          <t>July 14, 2026</t>
        </is>
      </c>
      <c r="G61" s="7" t="inlineStr">
        <is>
          <t>searched, not cited in a cell</t>
        </is>
      </c>
    </row>
    <row r="62">
      <c r="B62" s="6" t="inlineStr">
        <is>
          <t>S57</t>
        </is>
      </c>
      <c r="C62" s="6" t="inlineStr">
        <is>
          <t>US battery energy storage operators and optimizers - and how to contact them - Research | Modo Energy</t>
        </is>
      </c>
      <c r="D62" s="6" t="inlineStr">
        <is>
          <t>https://modoenergy.com/research/en/battery-energy-storage-optimizers-operators-usa-ercot-caiso-miso-spp-pjm-nyiso-isone-serc-wecc</t>
        </is>
      </c>
      <c r="E62" s="6" t="inlineStr">
        <is>
          <t>2026-09-28</t>
        </is>
      </c>
      <c r="F62" s="6" t="inlineStr">
        <is>
          <t>April 16, 2025</t>
        </is>
      </c>
      <c r="G62" s="6" t="inlineStr">
        <is>
          <t>'Scope'!B6; 'Scope'!B13:C13; 'Scope'!B16; 'Fundamentals'!B21:F21; 'Fundamentals'!B27; 'Trends'!B129:C129; 'Trends'!B130:C130; 'Trends'!B131:C131; 'Trends'!B132:C132; 'Trends'!B133; 'Landscape'!B14:J14; 'Landscape'!B16; 'Incumbents'!B10:H10; 'Incumbents'!B16</t>
        </is>
      </c>
    </row>
    <row r="63">
      <c r="B63" s="7" t="inlineStr">
        <is>
          <t>S58</t>
        </is>
      </c>
      <c r="C63" s="7" t="inlineStr">
        <is>
          <t>What to know about ERCOT's new RTC+B program - Energy Storage</t>
        </is>
      </c>
      <c r="D63" s="7" t="inlineStr">
        <is>
          <t>https://www.ess-news.com/2025/12/10/what-to-know-about-ercots-new-rtcb-program/</t>
        </is>
      </c>
      <c r="E63" s="7" t="inlineStr">
        <is>
          <t>2026-09-28</t>
        </is>
      </c>
      <c r="F63" s="7" t="inlineStr">
        <is>
          <t>December 10, 2025</t>
        </is>
      </c>
      <c r="G63" s="7" t="inlineStr">
        <is>
          <t>'Risks'!B12; 'Risks'!B42</t>
        </is>
      </c>
    </row>
    <row r="64">
      <c r="B64" s="6" t="inlineStr">
        <is>
          <t>S59</t>
        </is>
      </c>
      <c r="C64" s="6" t="inlineStr">
        <is>
          <t>Battery Power Online | Follow the Money: Battery Investments in Software, Polymers, More</t>
        </is>
      </c>
      <c r="D64" s="6" t="inlineStr">
        <is>
          <t>https://www.batterypoweronline.com/news/follow-the-money-battery-investments-in-software-polymers-more/</t>
        </is>
      </c>
      <c r="E64" s="6" t="inlineStr">
        <is>
          <t>2026-09-28</t>
        </is>
      </c>
      <c r="F64" s="6" t="inlineStr">
        <is>
          <t>April 6, 2026</t>
        </is>
      </c>
      <c r="G64" s="6" t="inlineStr">
        <is>
          <t>searched, not cited in a cell</t>
        </is>
      </c>
    </row>
    <row r="65">
      <c r="B65" s="7" t="inlineStr">
        <is>
          <t>S60</t>
        </is>
      </c>
      <c r="C65" s="7" t="inlineStr">
        <is>
          <t>Energy Storage 2026, 16.5 GW US Growth in ERCOT &amp; CAISO - EnkiAI</t>
        </is>
      </c>
      <c r="D65" s="7" t="inlineStr">
        <is>
          <t>https://enkiai.com/battery-storage/standalone-energy-storage-ercot-caiso/</t>
        </is>
      </c>
      <c r="E65" s="7" t="inlineStr">
        <is>
          <t>2026-09-28</t>
        </is>
      </c>
      <c r="F65" s="7" t="inlineStr">
        <is>
          <t>June 16, 2026</t>
        </is>
      </c>
      <c r="G65" s="7" t="inlineStr">
        <is>
          <t>'Risks'!B32</t>
        </is>
      </c>
    </row>
    <row r="66">
      <c r="B66" s="6" t="inlineStr">
        <is>
          <t>S61</t>
        </is>
      </c>
      <c r="C66" s="6" t="inlineStr">
        <is>
          <t>US battery storage developers get creative as pure merchant model fades</t>
        </is>
      </c>
      <c r="D66" s="6" t="inlineStr">
        <is>
          <t>https://www.energy-storage.news/us-battery-storage-developers-get-creative-as-pure-merchant-model-fades/</t>
        </is>
      </c>
      <c r="E66" s="6" t="inlineStr">
        <is>
          <t>2026-09-28</t>
        </is>
      </c>
      <c r="F66" s="6" t="inlineStr">
        <is>
          <t>April 15, 2026</t>
        </is>
      </c>
      <c r="G66" s="6" t="inlineStr">
        <is>
          <t>searched, not cited in a cell</t>
        </is>
      </c>
    </row>
    <row r="67">
      <c r="B67" s="7" t="inlineStr">
        <is>
          <t>S62</t>
        </is>
      </c>
      <c r="C67" s="7" t="inlineStr">
        <is>
          <t>Battery Software: The tools empowering a growing energy storage industry</t>
        </is>
      </c>
      <c r="D67" s="7" t="inlineStr">
        <is>
          <t>https://energizecap.com/insights/battery-software-the-tools-empowering-a-growing-industry</t>
        </is>
      </c>
      <c r="E67" s="7" t="inlineStr">
        <is>
          <t>2026-09-28</t>
        </is>
      </c>
      <c r="F67" s="7" t="inlineStr">
        <is>
          <t>May 20, 2026</t>
        </is>
      </c>
      <c r="G67" s="7" t="inlineStr">
        <is>
          <t>searched, not cited in a cell</t>
        </is>
      </c>
    </row>
    <row r="68">
      <c r="B68" s="6" t="inlineStr">
        <is>
          <t>S63</t>
        </is>
      </c>
      <c r="C68" s="6" t="inlineStr">
        <is>
          <t>Fluence Mosaic Intelligent Bidding Software Expands to Optimize Hybrid Renewables and Storage Assets in California Independent System Operator Wholesa</t>
        </is>
      </c>
      <c r="D68" s="6" t="inlineStr">
        <is>
          <t>https://ir.fluenceenergy.com/news-releases/news-release-details/fluence-mosaic-intelligent-bidding-software-expands-optimize</t>
        </is>
      </c>
      <c r="E68" s="6" t="inlineStr">
        <is>
          <t>2026-09-28</t>
        </is>
      </c>
      <c r="F68" s="6" t="inlineStr">
        <is>
          <t>January 16, 2024</t>
        </is>
      </c>
      <c r="G68" s="6" t="inlineStr">
        <is>
          <t>searched, not cited in a cell</t>
        </is>
      </c>
    </row>
    <row r="69">
      <c r="B69" s="7" t="inlineStr">
        <is>
          <t>S64</t>
        </is>
      </c>
      <c r="C69" s="7" t="inlineStr">
        <is>
          <t>The Future of Operating Grid-Scale Storage Portfolios</t>
        </is>
      </c>
      <c r="D69" s="7" t="inlineStr">
        <is>
          <t>https://blog.fluenceenergy.com/future-operating-grid-scale-storage-portfolios</t>
        </is>
      </c>
      <c r="E69" s="7" t="inlineStr">
        <is>
          <t>2026-09-28</t>
        </is>
      </c>
      <c r="F69" s="7" t="inlineStr">
        <is>
          <t>November 20, 2024</t>
        </is>
      </c>
      <c r="G69" s="7" t="inlineStr">
        <is>
          <t>searched, not cited in a cell</t>
        </is>
      </c>
    </row>
    <row r="70">
      <c r="B70" s="6" t="inlineStr">
        <is>
          <t>S65</t>
        </is>
      </c>
      <c r="C70" s="6" t="inlineStr">
        <is>
          <t>Bidding Wars: Fluence software eyes emerging opportunity for under 50 MW asset class</t>
        </is>
      </c>
      <c r="D70" s="6" t="inlineStr">
        <is>
          <t>https://solarbuildermag.com/energy-storage/bidding-wars-fluence-explains-emerging-opportunity-for-under-50-mw-asset-class/</t>
        </is>
      </c>
      <c r="E70" s="6" t="inlineStr">
        <is>
          <t>2026-09-28</t>
        </is>
      </c>
      <c r="F70" s="6" t="inlineStr">
        <is>
          <t>May 19, 2025</t>
        </is>
      </c>
      <c r="G70" s="6" t="inlineStr">
        <is>
          <t>searched, not cited in a cell</t>
        </is>
      </c>
    </row>
    <row r="71">
      <c r="B71" s="7" t="inlineStr">
        <is>
          <t>S66</t>
        </is>
      </c>
      <c r="C71" s="7" t="inlineStr">
        <is>
          <t>Mosaic Intelligent Bid Optimization Software Solution</t>
        </is>
      </c>
      <c r="D71" s="7" t="inlineStr">
        <is>
          <t>https://fluenceenergy.com/mosaic-solutions/</t>
        </is>
      </c>
      <c r="E71" s="7" t="inlineStr">
        <is>
          <t>2026-09-28</t>
        </is>
      </c>
      <c r="F71" s="7" t="inlineStr">
        <is>
          <t>November 20, 2025</t>
        </is>
      </c>
      <c r="G71" s="7" t="inlineStr">
        <is>
          <t>searched, not cited in a cell</t>
        </is>
      </c>
    </row>
    <row r="72">
      <c r="B72" s="6" t="inlineStr">
        <is>
          <t>S67</t>
        </is>
      </c>
      <c r="C72" s="6" t="inlineStr">
        <is>
          <t>Fluence Energy, Inc. - Form 10-K - FY2022</t>
        </is>
      </c>
      <c r="D72" s="6" t="inlineStr">
        <is>
          <t>https://www.sec.gov/Archives/edgar/data/1868941/000186894122000120/flnc-20220930.htm</t>
        </is>
      </c>
      <c r="E72" s="6" t="inlineStr">
        <is>
          <t>2026-09-28</t>
        </is>
      </c>
      <c r="F72" s="6" t="inlineStr"/>
      <c r="G72" s="6" t="inlineStr">
        <is>
          <t>searched, not cited in a cell</t>
        </is>
      </c>
    </row>
    <row r="73">
      <c r="B73" s="7" t="inlineStr">
        <is>
          <t>S68</t>
        </is>
      </c>
      <c r="C73" s="7" t="inlineStr">
        <is>
          <t>Beating the Benchmark: Evolving Energy Storage Bidding in the US</t>
        </is>
      </c>
      <c r="D73" s="7" t="inlineStr">
        <is>
          <t>https://blog.fluenceenergy.com/beating-bidding-benchmark-evolving-energy-storage</t>
        </is>
      </c>
      <c r="E73" s="7" t="inlineStr">
        <is>
          <t>2026-09-28</t>
        </is>
      </c>
      <c r="F73" s="7" t="inlineStr">
        <is>
          <t>May 26, 2026</t>
        </is>
      </c>
      <c r="G73" s="7" t="inlineStr">
        <is>
          <t>'Landscape'!B14:J14; 'Landscape'!B16</t>
        </is>
      </c>
    </row>
    <row r="74">
      <c r="B74" s="6" t="inlineStr">
        <is>
          <t>S69</t>
        </is>
      </c>
      <c r="C74" s="6" t="inlineStr">
        <is>
          <t>Fluence Energy Overview: Utility-Scale Energy Storage</t>
        </is>
      </c>
      <c r="D74" s="6" t="inlineStr">
        <is>
          <t>https://eureka.patsnap.com/blog/company/fluence-energy-overview/</t>
        </is>
      </c>
      <c r="E74" s="6" t="inlineStr">
        <is>
          <t>2026-09-28</t>
        </is>
      </c>
      <c r="F74" s="6" t="inlineStr">
        <is>
          <t>August 6, 2025</t>
        </is>
      </c>
      <c r="G74" s="6" t="inlineStr">
        <is>
          <t>searched, not cited in a cell</t>
        </is>
      </c>
    </row>
    <row r="75">
      <c r="B75" s="7" t="inlineStr">
        <is>
          <t>S70</t>
        </is>
      </c>
      <c r="C75" s="7" t="inlineStr">
        <is>
          <t>Fluence Energy, Inc. - Form 10-K - FY2025</t>
        </is>
      </c>
      <c r="D75" s="7" t="inlineStr">
        <is>
          <t>https://www.sec.gov/Archives/edgar/data/1868941/000186894125000081/flnc-20250930.htm</t>
        </is>
      </c>
      <c r="E75" s="7" t="inlineStr">
        <is>
          <t>2026-09-28</t>
        </is>
      </c>
      <c r="F75" s="7" t="inlineStr"/>
      <c r="G75" s="7" t="inlineStr">
        <is>
          <t>'Scope'!B11:C11; 'Scope'!B16; 'Landscape'!B14:J14; 'Landscape'!B16</t>
        </is>
      </c>
    </row>
    <row r="76">
      <c r="B76" s="6" t="inlineStr">
        <is>
          <t>S71</t>
        </is>
      </c>
      <c r="C76" s="6" t="inlineStr">
        <is>
          <t>Danske Commodities and Habitat Energy win UK battery optimisation contracts</t>
        </is>
      </c>
      <c r="D76" s="6" t="inlineStr">
        <is>
          <t>https://www.energy-storage.news/danske-commodities-and-habitat-energy-win-uk-battery-optimisation-contracts/</t>
        </is>
      </c>
      <c r="E76" s="6" t="inlineStr">
        <is>
          <t>2026-09-28</t>
        </is>
      </c>
      <c r="F76" s="6" t="inlineStr">
        <is>
          <t>July 4, 2023</t>
        </is>
      </c>
      <c r="G76" s="6" t="inlineStr">
        <is>
          <t>'Landscape'!B8:J8; 'Landscape'!B16</t>
        </is>
      </c>
    </row>
    <row r="77">
      <c r="B77" s="7" t="inlineStr">
        <is>
          <t>S72</t>
        </is>
      </c>
      <c r="C77" s="7" t="inlineStr">
        <is>
          <t>Habitat Energy</t>
        </is>
      </c>
      <c r="D77" s="7" t="inlineStr">
        <is>
          <t>https://app.dealroom.co/companies/habitat_energy</t>
        </is>
      </c>
      <c r="E77" s="7" t="inlineStr">
        <is>
          <t>2026-09-28</t>
        </is>
      </c>
      <c r="F77" s="7" t="inlineStr"/>
      <c r="G77" s="7" t="inlineStr">
        <is>
          <t>searched, not cited in a cell</t>
        </is>
      </c>
    </row>
    <row r="78">
      <c r="B78" s="6" t="inlineStr">
        <is>
          <t>S73</t>
        </is>
      </c>
      <c r="C78" s="6" t="inlineStr">
        <is>
          <t>Energy management startup GridBeyond funding round raises $12m - DCD</t>
        </is>
      </c>
      <c r="D78" s="6" t="inlineStr">
        <is>
          <t>https://www.datacenterdynamics.com/en/news/energy-management-startup-gridbeyond-funding-round-raises-12m/</t>
        </is>
      </c>
      <c r="E78" s="6" t="inlineStr">
        <is>
          <t>2026-09-28</t>
        </is>
      </c>
      <c r="F78" s="6" t="inlineStr">
        <is>
          <t>March 31, 2026</t>
        </is>
      </c>
      <c r="G78" s="6" t="inlineStr">
        <is>
          <t>'Landscape'!B9:J9; 'Landscape'!B16; 'Capital'!B14:H14; 'Capital'!B15</t>
        </is>
      </c>
    </row>
    <row r="79">
      <c r="B79" s="7" t="inlineStr">
        <is>
          <t>S74</t>
        </is>
      </c>
      <c r="C79" s="7" t="inlineStr">
        <is>
          <t>GridBeyond: €12 Million Raised To Expand AI Energy Optimization Platform Globally</t>
        </is>
      </c>
      <c r="D79" s="7" t="inlineStr">
        <is>
          <t>https://pulse2.com/gridbeyond-e12-million-raised-to-expand-ai-energy-optimization-platform-globally/amp/</t>
        </is>
      </c>
      <c r="E79" s="7" t="inlineStr">
        <is>
          <t>2026-09-28</t>
        </is>
      </c>
      <c r="F79" s="7" t="inlineStr">
        <is>
          <t>March 17, 2026</t>
        </is>
      </c>
      <c r="G79" s="7" t="inlineStr">
        <is>
          <t>searched, not cited in a cell</t>
        </is>
      </c>
    </row>
    <row r="80">
      <c r="B80" s="6" t="inlineStr">
        <is>
          <t>S75</t>
        </is>
      </c>
      <c r="C80" s="6" t="inlineStr">
        <is>
          <t>AI-driven optimiser GridBeyond raises €52 million from investors including ABB, Energy Impact Partners</t>
        </is>
      </c>
      <c r="D80" s="6" t="inlineStr">
        <is>
          <t>https://www.energy-storage.news/ai-driven-optimiser-gridbeyond-raises-e52-million-from-investors-including-abb-energy-impact-partners/</t>
        </is>
      </c>
      <c r="E80" s="6" t="inlineStr">
        <is>
          <t>2026-09-28</t>
        </is>
      </c>
      <c r="F80" s="6" t="inlineStr">
        <is>
          <t>April 16, 2024</t>
        </is>
      </c>
      <c r="G80" s="6" t="inlineStr">
        <is>
          <t>'Scope'!B13:C13; 'Scope'!B16; 'Fundamentals'!B23:F23; 'Fundamentals'!B27; 'Trends'!B129:C129; 'Trends'!B130:C130; 'Trends'!B131:C131; 'Trends'!B132:C132; 'Trends'!B133; 'Landscape'!B9:J9; 'Landscape'!B16; 'Capital'!B11:H11; 'Capital'!B15</t>
        </is>
      </c>
    </row>
    <row r="81">
      <c r="B81" s="7" t="inlineStr">
        <is>
          <t>S76</t>
        </is>
      </c>
      <c r="C81" s="7" t="inlineStr">
        <is>
          <t>Battery Storage | GridBeyond</t>
        </is>
      </c>
      <c r="D81" s="7" t="inlineStr">
        <is>
          <t>https://gridbeyond.com/asset-owner-ftm-2/battery-storage/</t>
        </is>
      </c>
      <c r="E81" s="7" t="inlineStr">
        <is>
          <t>2026-09-28</t>
        </is>
      </c>
      <c r="F81" s="7" t="inlineStr">
        <is>
          <t>November 4, 2022</t>
        </is>
      </c>
      <c r="G81" s="7" t="inlineStr">
        <is>
          <t>searched, not cited in a cell</t>
        </is>
      </c>
    </row>
    <row r="82">
      <c r="B82" s="6" t="inlineStr">
        <is>
          <t>S77</t>
        </is>
      </c>
      <c r="C82" s="6" t="inlineStr">
        <is>
          <t>Utility-scale energy storage | Dynamically maximising revenues for your battery storage investment | GridBeyond</t>
        </is>
      </c>
      <c r="D82" s="6" t="inlineStr">
        <is>
          <t>https://gridbeyond.com/lp/utility-scale-energy-storage-dynamically-maximising-revenues-for-your-battery-storage-investment/</t>
        </is>
      </c>
      <c r="E82" s="6" t="inlineStr">
        <is>
          <t>2026-09-28</t>
        </is>
      </c>
      <c r="F82" s="6" t="inlineStr">
        <is>
          <t>October 26, 2022</t>
        </is>
      </c>
      <c r="G82" s="6" t="inlineStr">
        <is>
          <t>searched, not cited in a cell</t>
        </is>
      </c>
    </row>
    <row r="83">
      <c r="B83" s="7" t="inlineStr">
        <is>
          <t>S78</t>
        </is>
      </c>
      <c r="C83" s="7" t="inlineStr">
        <is>
          <t>Powering progress: GridBeyond’s 2025 journey | GridBeyond</t>
        </is>
      </c>
      <c r="D83" s="7" t="inlineStr">
        <is>
          <t>https://gridbeyond.com/powering-progress-gridbeyonds-2025-journey/</t>
        </is>
      </c>
      <c r="E83" s="7" t="inlineStr">
        <is>
          <t>2026-09-28</t>
        </is>
      </c>
      <c r="F83" s="7" t="inlineStr">
        <is>
          <t>December 18, 2025</t>
        </is>
      </c>
      <c r="G83" s="7" t="inlineStr">
        <is>
          <t>'Landscape'!B9:J9; 'Landscape'!B16</t>
        </is>
      </c>
    </row>
    <row r="84">
      <c r="B84" s="6" t="inlineStr">
        <is>
          <t>S79</t>
        </is>
      </c>
      <c r="C84" s="6" t="inlineStr">
        <is>
          <t>GridBeyond 2026 Company Profile: Valuation, Funding &amp; Investors | PitchBook</t>
        </is>
      </c>
      <c r="D84" s="6" t="inlineStr">
        <is>
          <t>https://pitchbook.com/profiles/company/59158-27</t>
        </is>
      </c>
      <c r="E84" s="6" t="inlineStr">
        <is>
          <t>2026-09-28</t>
        </is>
      </c>
      <c r="F84" s="6" t="inlineStr"/>
      <c r="G84" s="6" t="inlineStr">
        <is>
          <t>searched, not cited in a cell</t>
        </is>
      </c>
    </row>
    <row r="85">
      <c r="B85" s="7" t="inlineStr">
        <is>
          <t>S80</t>
        </is>
      </c>
      <c r="C85" s="7" t="inlineStr">
        <is>
          <t>GridBeyond Company Overview, Contact Details &amp; Competitors | LeadIQ</t>
        </is>
      </c>
      <c r="D85" s="7" t="inlineStr">
        <is>
          <t>https://leadiq.com/c/gridbeyond/5a1da2e9230000530094dfb9</t>
        </is>
      </c>
      <c r="E85" s="7" t="inlineStr">
        <is>
          <t>2026-09-28</t>
        </is>
      </c>
      <c r="F85" s="7" t="inlineStr"/>
      <c r="G85" s="7" t="inlineStr">
        <is>
          <t>searched, not cited in a cell</t>
        </is>
      </c>
    </row>
    <row r="86">
      <c r="B86" s="6" t="inlineStr">
        <is>
          <t>S81</t>
        </is>
      </c>
      <c r="C86" s="6" t="inlineStr">
        <is>
          <t>GridBeyond - 2026 Company Profile, Team, Funding, Competitors &amp; Financials - Tracxn</t>
        </is>
      </c>
      <c r="D86" s="6" t="inlineStr">
        <is>
          <t>https://tracxn.com/d/companies/gridbeyond/__daPNKjX7iJeCorgZpCcWcbuK_n5V6xLpirIFg1oJdzY</t>
        </is>
      </c>
      <c r="E86" s="6" t="inlineStr">
        <is>
          <t>2026-09-28</t>
        </is>
      </c>
      <c r="F86" s="6" t="inlineStr">
        <is>
          <t>June 28, 2026</t>
        </is>
      </c>
      <c r="G86" s="6" t="inlineStr">
        <is>
          <t>'Landscape'!B9:J9; 'Landscape'!B16</t>
        </is>
      </c>
    </row>
    <row r="87">
      <c r="B87" s="7" t="inlineStr">
        <is>
          <t>S82</t>
        </is>
      </c>
      <c r="C87" s="7" t="inlineStr">
        <is>
          <t>Energy Trading Software for Power Markets | Amperon</t>
        </is>
      </c>
      <c r="D87" s="7" t="inlineStr">
        <is>
          <t>https://www.amperon.co/solutions/power-markets-trading</t>
        </is>
      </c>
      <c r="E87" s="7" t="inlineStr">
        <is>
          <t>2026-09-28</t>
        </is>
      </c>
      <c r="F87" s="7" t="inlineStr"/>
      <c r="G87" s="7" t="inlineStr">
        <is>
          <t>searched, not cited in a cell</t>
        </is>
      </c>
    </row>
    <row r="88">
      <c r="B88" s="6" t="inlineStr">
        <is>
          <t>S83</t>
        </is>
      </c>
      <c r="C88" s="6" t="inlineStr">
        <is>
          <t>Gridmatic - Battery Asset Management Summit Europe</t>
        </is>
      </c>
      <c r="D88" s="6" t="inlineStr">
        <is>
          <t>https://batteryeurope.solarenergyevents.com/sponsor/gridmatic/</t>
        </is>
      </c>
      <c r="E88" s="6" t="inlineStr">
        <is>
          <t>2026-09-28</t>
        </is>
      </c>
      <c r="F88" s="6" t="inlineStr">
        <is>
          <t>September 2, 2024</t>
        </is>
      </c>
      <c r="G88" s="6" t="inlineStr">
        <is>
          <t>searched, not cited in a cell</t>
        </is>
      </c>
    </row>
    <row r="89">
      <c r="B89" s="7" t="inlineStr">
        <is>
          <t>S84</t>
        </is>
      </c>
      <c r="C89" s="7" t="inlineStr">
        <is>
          <t>Gridmatic - Battery Asset Management Summit Australia</t>
        </is>
      </c>
      <c r="D89" s="7" t="inlineStr">
        <is>
          <t>https://batteryaustralia.solarenergyevents.com/sponsor/gridmatic/</t>
        </is>
      </c>
      <c r="E89" s="7" t="inlineStr">
        <is>
          <t>2026-09-28</t>
        </is>
      </c>
      <c r="F89" s="7" t="inlineStr">
        <is>
          <t>January 22, 2025</t>
        </is>
      </c>
      <c r="G89" s="7" t="inlineStr">
        <is>
          <t>searched, not cited in a cell</t>
        </is>
      </c>
    </row>
    <row r="90">
      <c r="B90" s="6" t="inlineStr">
        <is>
          <t>S85</t>
        </is>
      </c>
      <c r="C90" s="6" t="inlineStr">
        <is>
          <t>Gridmatic Wants to Turn the Power Grid Into a Forecasting Problem | YesPress</t>
        </is>
      </c>
      <c r="D90" s="6" t="inlineStr">
        <is>
          <t>https://yespress.io/gridmatic</t>
        </is>
      </c>
      <c r="E90" s="6" t="inlineStr">
        <is>
          <t>2026-09-28</t>
        </is>
      </c>
      <c r="F90" s="6" t="inlineStr">
        <is>
          <t>August 14, 2026</t>
        </is>
      </c>
      <c r="G90" s="6" t="inlineStr">
        <is>
          <t>searched, not cited in a cell</t>
        </is>
      </c>
    </row>
    <row r="91">
      <c r="B91" s="7" t="inlineStr">
        <is>
          <t>S86</t>
        </is>
      </c>
      <c r="C91" s="7" t="inlineStr">
        <is>
          <t>Energy Price Forecasting Software | Amperon</t>
        </is>
      </c>
      <c r="D91" s="7" t="inlineStr">
        <is>
          <t>https://www.amperon.co/products/price-forecasting</t>
        </is>
      </c>
      <c r="E91" s="7" t="inlineStr">
        <is>
          <t>2026-09-28</t>
        </is>
      </c>
      <c r="F91" s="7" t="inlineStr"/>
      <c r="G91" s="7" t="inlineStr">
        <is>
          <t>searched, not cited in a cell</t>
        </is>
      </c>
    </row>
    <row r="92">
      <c r="B92" s="6" t="inlineStr">
        <is>
          <t>S87</t>
        </is>
      </c>
      <c r="C92" s="6" t="inlineStr">
        <is>
          <t>Energy Portfolio Management Software for Retailers | Amperon</t>
        </is>
      </c>
      <c r="D92" s="6" t="inlineStr">
        <is>
          <t>https://www.amperon.co/solutions/retail-portfolio-management</t>
        </is>
      </c>
      <c r="E92" s="6" t="inlineStr">
        <is>
          <t>2026-09-28</t>
        </is>
      </c>
      <c r="F92" s="6" t="inlineStr"/>
      <c r="G92" s="6" t="inlineStr">
        <is>
          <t>searched, not cited in a cell</t>
        </is>
      </c>
    </row>
    <row r="93">
      <c r="B93" s="7" t="inlineStr">
        <is>
          <t>S88</t>
        </is>
      </c>
      <c r="C93" s="7" t="inlineStr">
        <is>
          <t>Home | Gridmatic</t>
        </is>
      </c>
      <c r="D93" s="7" t="inlineStr">
        <is>
          <t>https://www.gridmatic.com/</t>
        </is>
      </c>
      <c r="E93" s="7" t="inlineStr">
        <is>
          <t>2026-09-28</t>
        </is>
      </c>
      <c r="F93" s="7" t="inlineStr"/>
      <c r="G93" s="7" t="inlineStr">
        <is>
          <t>searched, not cited in a cell</t>
        </is>
      </c>
    </row>
    <row r="94">
      <c r="B94" s="6" t="inlineStr">
        <is>
          <t>S89</t>
        </is>
      </c>
      <c r="C94" s="6" t="inlineStr">
        <is>
          <t>Amperon | Demand Forecasts for the Energy Transition</t>
        </is>
      </c>
      <c r="D94" s="6" t="inlineStr">
        <is>
          <t>https://www.amperon.co/</t>
        </is>
      </c>
      <c r="E94" s="6" t="inlineStr">
        <is>
          <t>2026-09-28</t>
        </is>
      </c>
      <c r="F94" s="6" t="inlineStr"/>
      <c r="G94" s="6" t="inlineStr">
        <is>
          <t>'Landscape'!B11:J11; 'Landscape'!B16</t>
        </is>
      </c>
    </row>
    <row r="95">
      <c r="B95" s="7" t="inlineStr">
        <is>
          <t>S90</t>
        </is>
      </c>
      <c r="C95" s="7" t="inlineStr">
        <is>
          <t>Gridmatic Surpasses 1GWh of Energy Storage Under Management and Sees Major Growth in Retail Business</t>
        </is>
      </c>
      <c r="D95" s="7" t="inlineStr">
        <is>
          <t>https://www.businesswire.com/news/home/20241210579395/en/Gridmatic-Surpasses-1GWh-of-Energy-Storage-Under-Management-and-Sees-Major-Growth-in-Retail-Business</t>
        </is>
      </c>
      <c r="E95" s="7" t="inlineStr">
        <is>
          <t>2026-09-28</t>
        </is>
      </c>
      <c r="F95" s="7" t="inlineStr"/>
      <c r="G95" s="7" t="inlineStr">
        <is>
          <t>'Trends'!B129:C129; 'Trends'!B130:C130; 'Trends'!B131:C131; 'Trends'!B132:C132; 'Trends'!B133; 'Landscape'!B10:J10; 'Landscape'!B16; 'Risks'!B7</t>
        </is>
      </c>
    </row>
    <row r="96">
      <c r="B96" s="6" t="inlineStr">
        <is>
          <t>S91</t>
        </is>
      </c>
      <c r="C96" s="6" t="inlineStr">
        <is>
          <t>Tyba raises $13.9M Series A to improve the profitability of energy storage projects | Baker City Herald</t>
        </is>
      </c>
      <c r="D96" s="6" t="inlineStr">
        <is>
          <t>https://bakercityherald.com/2025/02/06/tyba-raises-13-9m-series-a-to-improve-the-profitability-of-energy-storage-projects/</t>
        </is>
      </c>
      <c r="E96" s="6" t="inlineStr">
        <is>
          <t>2026-09-28</t>
        </is>
      </c>
      <c r="F96" s="6" t="inlineStr">
        <is>
          <t>March 11, 2025</t>
        </is>
      </c>
      <c r="G96" s="6" t="inlineStr">
        <is>
          <t>'Fundamentals'!B26:F26; 'Fundamentals'!B27; 'Landscape'!B7:J7; 'Landscape'!B16; 'Capital'!B12:H12; 'Capital'!B15; 'Risks'!B27</t>
        </is>
      </c>
    </row>
    <row r="97">
      <c r="B97" s="7" t="inlineStr">
        <is>
          <t>S92</t>
        </is>
      </c>
      <c r="C97" s="7" t="inlineStr">
        <is>
          <t>Tyba: Funding, Team &amp; Investors | Startup Intros</t>
        </is>
      </c>
      <c r="D97" s="7" t="inlineStr">
        <is>
          <t>https://startupintros.com/orgs/tyba</t>
        </is>
      </c>
      <c r="E97" s="7" t="inlineStr">
        <is>
          <t>2026-09-28</t>
        </is>
      </c>
      <c r="F97" s="7" t="inlineStr">
        <is>
          <t>July 13, 2026</t>
        </is>
      </c>
      <c r="G97" s="7" t="inlineStr">
        <is>
          <t>'Landscape'!B7:J7; 'Landscape'!B16</t>
        </is>
      </c>
    </row>
    <row r="98">
      <c r="B98" s="6" t="inlineStr">
        <is>
          <t>S93</t>
        </is>
      </c>
      <c r="C98" s="6" t="inlineStr">
        <is>
          <t>Tyba raises $13.9M Series A to improve the profitability of energy storage projects - Tyba Energy</t>
        </is>
      </c>
      <c r="D98" s="6" t="inlineStr">
        <is>
          <t>https://www.tyba.ai/series-a-fundraise-announcement/</t>
        </is>
      </c>
      <c r="E98" s="6" t="inlineStr">
        <is>
          <t>2026-09-28</t>
        </is>
      </c>
      <c r="F98" s="6" t="inlineStr">
        <is>
          <t>February 6, 2025</t>
        </is>
      </c>
      <c r="G98" s="6" t="inlineStr">
        <is>
          <t>'Landscape'!B7:J7; 'Landscape'!B16; 'Capital'!B12:H12; 'Capital'!B15</t>
        </is>
      </c>
    </row>
    <row r="99">
      <c r="B99" s="7" t="inlineStr">
        <is>
          <t>S94</t>
        </is>
      </c>
      <c r="C99" s="7" t="inlineStr">
        <is>
          <t>Tyba - Crunchbase Company Profile &amp; Funding</t>
        </is>
      </c>
      <c r="D99" s="7" t="inlineStr">
        <is>
          <t>https://www.crunchbase.com/organization/tyba-10be</t>
        </is>
      </c>
      <c r="E99" s="7" t="inlineStr">
        <is>
          <t>2026-09-28</t>
        </is>
      </c>
      <c r="F99" s="7" t="inlineStr"/>
      <c r="G99" s="7" t="inlineStr">
        <is>
          <t>searched, not cited in a cell</t>
        </is>
      </c>
    </row>
    <row r="100">
      <c r="B100" s="6" t="inlineStr">
        <is>
          <t>S95</t>
        </is>
      </c>
      <c r="C100" s="6" t="inlineStr">
        <is>
          <t>Tyba - 2026 Company Profile, Team, Funding &amp; Competitors - Tracxn</t>
        </is>
      </c>
      <c r="D100" s="6" t="inlineStr">
        <is>
          <t>https://tracxn.com/d/companies/tyba/__bKcyPLaKKDpIRfY2-TeE366G4bu5yseqv38XRlU0Bq8</t>
        </is>
      </c>
      <c r="E100" s="6" t="inlineStr">
        <is>
          <t>2026-09-28</t>
        </is>
      </c>
      <c r="F100" s="6" t="inlineStr">
        <is>
          <t>June 23, 2026</t>
        </is>
      </c>
      <c r="G100" s="6" t="inlineStr">
        <is>
          <t>'Landscape'!B7:J7; 'Landscape'!B16</t>
        </is>
      </c>
    </row>
    <row r="101">
      <c r="B101" s="7" t="inlineStr">
        <is>
          <t>S96</t>
        </is>
      </c>
      <c r="C101" s="7" t="inlineStr">
        <is>
          <t>Tyba - Energy Storage, Software, Solar - San Francisco, United States - Series A Funded - Founder Contact Info | VCBacked</t>
        </is>
      </c>
      <c r="D101" s="7" t="inlineStr">
        <is>
          <t>https://www.vcbacked.co/company/tyba</t>
        </is>
      </c>
      <c r="E101" s="7" t="inlineStr">
        <is>
          <t>2026-09-28</t>
        </is>
      </c>
      <c r="F101" s="7" t="inlineStr"/>
      <c r="G101" s="7" t="inlineStr">
        <is>
          <t>searched, not cited in a cell</t>
        </is>
      </c>
    </row>
    <row r="102">
      <c r="B102" s="6" t="inlineStr">
        <is>
          <t>S97</t>
        </is>
      </c>
      <c r="C102" s="6" t="inlineStr">
        <is>
          <t>Tyba raises $13.9M Series A to improve the profitability of energy storage projects</t>
        </is>
      </c>
      <c r="D102" s="6" t="inlineStr">
        <is>
          <t>https://www.prnewswire.com/news-releases/tyba-raises-13-9m-series-a-to-improve-the-profitability-of-energy-storage-projects-302369741.html</t>
        </is>
      </c>
      <c r="E102" s="6" t="inlineStr">
        <is>
          <t>2026-09-28</t>
        </is>
      </c>
      <c r="F102" s="6" t="inlineStr">
        <is>
          <t>February 6, 2025</t>
        </is>
      </c>
      <c r="G102" s="6" t="inlineStr">
        <is>
          <t>'Scope'!B13:C13; 'Scope'!B16; 'Landscape'!B7:J7; 'Landscape'!B16</t>
        </is>
      </c>
    </row>
    <row r="103">
      <c r="B103" s="7" t="inlineStr">
        <is>
          <t>S98</t>
        </is>
      </c>
      <c r="C103" s="7" t="inlineStr">
        <is>
          <t>Tyba Raises $13.9 Million in Series A</t>
        </is>
      </c>
      <c r="D103" s="7" t="inlineStr">
        <is>
          <t>https://www.thesaasnews.com/news/tyba-raises-13-9-million-in-series-a/</t>
        </is>
      </c>
      <c r="E103" s="7" t="inlineStr">
        <is>
          <t>2026-09-28</t>
        </is>
      </c>
      <c r="F103" s="7" t="inlineStr">
        <is>
          <t>February 24, 2025</t>
        </is>
      </c>
      <c r="G103" s="7" t="inlineStr">
        <is>
          <t>'Landscape'!B7:J7; 'Landscape'!B16</t>
        </is>
      </c>
    </row>
    <row r="104">
      <c r="B104" s="6" t="inlineStr">
        <is>
          <t>S99</t>
        </is>
      </c>
      <c r="C104" s="6" t="inlineStr">
        <is>
          <t>Tyba Raises $13.9M Series A Funding Led by Energize Capital</t>
        </is>
      </c>
      <c r="D104" s="6" t="inlineStr">
        <is>
          <t>https://technews180.com/funding-news/tyba-raises-13-9m-series-a/</t>
        </is>
      </c>
      <c r="E104" s="6" t="inlineStr">
        <is>
          <t>2026-09-28</t>
        </is>
      </c>
      <c r="F104" s="6" t="inlineStr">
        <is>
          <t>November 7, 2025</t>
        </is>
      </c>
      <c r="G104" s="6" t="inlineStr">
        <is>
          <t>searched, not cited in a cell</t>
        </is>
      </c>
    </row>
    <row r="105">
      <c r="B105" s="7" t="inlineStr">
        <is>
          <t>S100</t>
        </is>
      </c>
      <c r="C105" s="7" t="inlineStr">
        <is>
          <t>STEM, INC. - Form 10-K - FY2023</t>
        </is>
      </c>
      <c r="D105" s="7" t="inlineStr">
        <is>
          <t>https://www.sec.gov/Archives/edgar/data/1758766/000175876624000029/stem-20231231.htm</t>
        </is>
      </c>
      <c r="E105" s="7" t="inlineStr">
        <is>
          <t>2026-09-28</t>
        </is>
      </c>
      <c r="F105" s="7" t="inlineStr"/>
      <c r="G105" s="7" t="inlineStr">
        <is>
          <t>searched, not cited in a cell</t>
        </is>
      </c>
    </row>
    <row r="106">
      <c r="B106" s="6" t="inlineStr">
        <is>
          <t>S101</t>
        </is>
      </c>
      <c r="C106" s="6" t="inlineStr">
        <is>
          <t>STEM, INC. - Form 10-K - FY2021</t>
        </is>
      </c>
      <c r="D106" s="6" t="inlineStr">
        <is>
          <t>https://www.sec.gov/Archives/edgar/data/1758766/000175876622000032/stem-20211231.htm</t>
        </is>
      </c>
      <c r="E106" s="6" t="inlineStr">
        <is>
          <t>2026-09-28</t>
        </is>
      </c>
      <c r="F106" s="6" t="inlineStr"/>
      <c r="G106" s="6" t="inlineStr">
        <is>
          <t>searched, not cited in a cell</t>
        </is>
      </c>
    </row>
    <row r="107">
      <c r="B107" s="7" t="inlineStr">
        <is>
          <t>S102</t>
        </is>
      </c>
      <c r="C107" s="7" t="inlineStr">
        <is>
          <t>STEM, INC. - Form 10-K - FY2024</t>
        </is>
      </c>
      <c r="D107" s="7" t="inlineStr">
        <is>
          <t>https://www.sec.gov/Archives/edgar/data/1758766/000175876625000005/stem-20241231.htm</t>
        </is>
      </c>
      <c r="E107" s="7" t="inlineStr">
        <is>
          <t>2026-09-28</t>
        </is>
      </c>
      <c r="F107" s="7" t="inlineStr"/>
      <c r="G107" s="7" t="inlineStr">
        <is>
          <t>'Landscape'!B15:J15; 'Landscape'!B16</t>
        </is>
      </c>
    </row>
    <row r="108">
      <c r="B108" s="6" t="inlineStr">
        <is>
          <t>S103</t>
        </is>
      </c>
      <c r="C108" s="6" t="inlineStr">
        <is>
          <t>Maximizing Battery Storage Merchant Revenues in ... - Stem, Inc.</t>
        </is>
      </c>
      <c r="D108" s="6" t="inlineStr">
        <is>
          <t>https://www.stem.com/wp-content/uploads/2021/11/Stem-TX-ERCOT-Offering_One-Pager_Oct2021_v4-1.pdf</t>
        </is>
      </c>
      <c r="E108" s="6" t="inlineStr">
        <is>
          <t>2026-09-28</t>
        </is>
      </c>
      <c r="F108" s="6" t="inlineStr"/>
      <c r="G108" s="6" t="inlineStr">
        <is>
          <t>searched, not cited in a cell</t>
        </is>
      </c>
    </row>
    <row r="109">
      <c r="B109" s="7" t="inlineStr">
        <is>
          <t>S104</t>
        </is>
      </c>
      <c r="C109" s="7" t="inlineStr">
        <is>
          <t>Stem, Inc. Highlights Significant Milestones and New Applications for Athena® Software in Wholesale Energy Markets | Business Wire</t>
        </is>
      </c>
      <c r="D109" s="7" t="inlineStr">
        <is>
          <t>https://www.businesswire.com/news/home/20211005005285/en/Stem-Inc.-Highlights-Significant-Milestones-and-New-Applications-for-Athena%C2%AE-Software-in-Wholesale-Energy-Markets</t>
        </is>
      </c>
      <c r="E109" s="7" t="inlineStr">
        <is>
          <t>2026-09-28</t>
        </is>
      </c>
      <c r="F109" s="7" t="inlineStr">
        <is>
          <t>October 5, 2021</t>
        </is>
      </c>
      <c r="G109" s="7" t="inlineStr">
        <is>
          <t>searched, not cited in a cell</t>
        </is>
      </c>
    </row>
    <row r="110">
      <c r="B110" s="6" t="inlineStr">
        <is>
          <t>S105</t>
        </is>
      </c>
      <c r="C110" s="6" t="inlineStr">
        <is>
          <t>Stem, Inc. Highlights Significant Milestones and New Applications for Athena® Software in Wholesale Energy Markets :: Stem, Inc. (STEM)</t>
        </is>
      </c>
      <c r="D110" s="6" t="inlineStr">
        <is>
          <t>https://investors.stem.com/news-events/press-releases/detail/189/stem-inc-highlights-significant-milestones-and-new-applications-for-athena-software-in-wholesale-energy-markets</t>
        </is>
      </c>
      <c r="E110" s="6" t="inlineStr">
        <is>
          <t>2026-09-28</t>
        </is>
      </c>
      <c r="F110" s="6" t="inlineStr">
        <is>
          <t>October 5, 2021</t>
        </is>
      </c>
      <c r="G110" s="6" t="inlineStr">
        <is>
          <t>searched, not cited in a cell</t>
        </is>
      </c>
    </row>
    <row r="111">
      <c r="B111" s="7" t="inlineStr">
        <is>
          <t>S106</t>
        </is>
      </c>
      <c r="C111" s="7" t="inlineStr">
        <is>
          <t>Stem, Inc. Highlights Significant Milestones and New Applications for Athena® Software in Wholesale Energy Markets | Stem | Global leader in AI-driven</t>
        </is>
      </c>
      <c r="D111" s="7" t="inlineStr">
        <is>
          <t>https://www.stem.com/stem-highlights-milestones-and-applications-for-athena-wholesale-markets/</t>
        </is>
      </c>
      <c r="E111" s="7" t="inlineStr">
        <is>
          <t>2026-09-28</t>
        </is>
      </c>
      <c r="F111" s="7" t="inlineStr">
        <is>
          <t>October 5, 2021</t>
        </is>
      </c>
      <c r="G111" s="7" t="inlineStr">
        <is>
          <t>searched, not cited in a cell</t>
        </is>
      </c>
    </row>
    <row r="112">
      <c r="B112" s="6" t="inlineStr">
        <is>
          <t>S107</t>
        </is>
      </c>
      <c r="C112" s="6" t="inlineStr">
        <is>
          <t>Schneider Electric launches DERS ‘grid management solution’ with Autogrid - Energy-Storage.News</t>
        </is>
      </c>
      <c r="D112" s="6" t="inlineStr">
        <is>
          <t>https://www.energy-storage.news/schneider-electric-launches-ders-grid-management-solution-with-autogrid/</t>
        </is>
      </c>
      <c r="E112" s="6" t="inlineStr">
        <is>
          <t>2026-09-28</t>
        </is>
      </c>
      <c r="F112" s="6" t="inlineStr">
        <is>
          <t>May 31, 2023</t>
        </is>
      </c>
      <c r="G112" s="6" t="inlineStr">
        <is>
          <t>searched, not cited in a cell</t>
        </is>
      </c>
    </row>
    <row r="113">
      <c r="B113" s="7" t="inlineStr">
        <is>
          <t>S108</t>
        </is>
      </c>
      <c r="C113" s="7" t="inlineStr">
        <is>
          <t>Uplight to Acquire AutoGrid, Expanding Clean Energy Offerings, Markets, and Business Models | Uplight</t>
        </is>
      </c>
      <c r="D113" s="7" t="inlineStr">
        <is>
          <t>https://uplight.com/press/uplight-to-acquire-autogrid/</t>
        </is>
      </c>
      <c r="E113" s="7" t="inlineStr">
        <is>
          <t>2026-09-28</t>
        </is>
      </c>
      <c r="F113" s="7" t="inlineStr">
        <is>
          <t>December 14, 2023</t>
        </is>
      </c>
      <c r="G113" s="7" t="inlineStr">
        <is>
          <t>'Landscape'!B12:J12; 'Landscape'!B16; 'Risks'!B17</t>
        </is>
      </c>
    </row>
    <row r="114">
      <c r="B114" s="6" t="inlineStr">
        <is>
          <t>S109</t>
        </is>
      </c>
      <c r="C114" s="6" t="inlineStr">
        <is>
          <t>Gridmatic Closes $50 Million Energy Storage Fund, Underscoring Importance of AI to Optimizing Batteries</t>
        </is>
      </c>
      <c r="D114" s="6" t="inlineStr">
        <is>
          <t>https://www.businesswire.com/news/home/20231115697337/en/Gridmatic-Closes-%2450-Million-Energy-Storage-Fund-Underscoring-Importance-of-AI-to-Optimizing-Batteries</t>
        </is>
      </c>
      <c r="E114" s="6" t="inlineStr">
        <is>
          <t>2026-09-28</t>
        </is>
      </c>
      <c r="F114" s="6" t="inlineStr">
        <is>
          <t>November 15, 2023</t>
        </is>
      </c>
      <c r="G114" s="6" t="inlineStr">
        <is>
          <t>searched, not cited in a cell</t>
        </is>
      </c>
    </row>
    <row r="115">
      <c r="B115" s="7" t="inlineStr">
        <is>
          <t>S110</t>
        </is>
      </c>
      <c r="C115" s="7" t="inlineStr">
        <is>
          <t>Gridmatic - Financial Details</t>
        </is>
      </c>
      <c r="D115" s="7" t="inlineStr">
        <is>
          <t>https://www.crunchbase.com/organization/gridmatic/investor_financials</t>
        </is>
      </c>
      <c r="E115" s="7" t="inlineStr">
        <is>
          <t>2026-09-28</t>
        </is>
      </c>
      <c r="F115" s="7" t="inlineStr"/>
      <c r="G115" s="7" t="inlineStr">
        <is>
          <t>searched, not cited in a cell</t>
        </is>
      </c>
    </row>
    <row r="116">
      <c r="B116" s="6" t="inlineStr">
        <is>
          <t>S111</t>
        </is>
      </c>
      <c r="C116" s="6" t="inlineStr">
        <is>
          <t>Gridmatic - 2026 Company Profile, Team &amp; Competitors - Tracxn</t>
        </is>
      </c>
      <c r="D116" s="6" t="inlineStr">
        <is>
          <t>https://tracxn.com/d/companies/gridmatic/__1vnr6jILgYSNkmMho06SO8qv1tz95uB76klOq1DDjrM</t>
        </is>
      </c>
      <c r="E116" s="6" t="inlineStr">
        <is>
          <t>2026-09-28</t>
        </is>
      </c>
      <c r="F116" s="6" t="inlineStr">
        <is>
          <t>August 5, 2026</t>
        </is>
      </c>
      <c r="G116" s="6" t="inlineStr">
        <is>
          <t>'Landscape'!B10:J10; 'Landscape'!B16</t>
        </is>
      </c>
    </row>
    <row r="117">
      <c r="B117" s="7" t="inlineStr">
        <is>
          <t>S112</t>
        </is>
      </c>
      <c r="C117" s="7" t="inlineStr">
        <is>
          <t>Gridmatic - aVenture Company Research</t>
        </is>
      </c>
      <c r="D117" s="7" t="inlineStr">
        <is>
          <t>https://aventure.vc/companies/gridmatic-cupertino-ca-us</t>
        </is>
      </c>
      <c r="E117" s="7" t="inlineStr">
        <is>
          <t>2026-09-28</t>
        </is>
      </c>
      <c r="F117" s="7" t="inlineStr">
        <is>
          <t>June 18, 2026</t>
        </is>
      </c>
      <c r="G117" s="7" t="inlineStr">
        <is>
          <t>searched, not cited in a cell</t>
        </is>
      </c>
    </row>
    <row r="118">
      <c r="B118" s="6" t="inlineStr">
        <is>
          <t>S113</t>
        </is>
      </c>
      <c r="C118" s="6" t="inlineStr">
        <is>
          <t>Gridmatic company information, funding &amp; investors | Dealroom.co</t>
        </is>
      </c>
      <c r="D118" s="6" t="inlineStr">
        <is>
          <t>https://app.dealroom.co/companies/gridmatic</t>
        </is>
      </c>
      <c r="E118" s="6" t="inlineStr">
        <is>
          <t>2026-09-28</t>
        </is>
      </c>
      <c r="F118" s="6" t="inlineStr"/>
      <c r="G118" s="6" t="inlineStr">
        <is>
          <t>searched, not cited in a cell</t>
        </is>
      </c>
    </row>
    <row r="119">
      <c r="B119" s="7" t="inlineStr">
        <is>
          <t>S114</t>
        </is>
      </c>
      <c r="C119" s="7" t="inlineStr">
        <is>
          <t>Total Raised</t>
        </is>
      </c>
      <c r="D119" s="7" t="inlineStr">
        <is>
          <t>https://www.cbinsights.com/company/gridics/financials</t>
        </is>
      </c>
      <c r="E119" s="7" t="inlineStr">
        <is>
          <t>2026-09-28</t>
        </is>
      </c>
      <c r="F119" s="7" t="inlineStr"/>
      <c r="G119" s="7" t="inlineStr">
        <is>
          <t>searched, not cited in a cell</t>
        </is>
      </c>
    </row>
    <row r="120">
      <c r="B120" s="6" t="inlineStr">
        <is>
          <t>S115</t>
        </is>
      </c>
      <c r="C120" s="6" t="inlineStr">
        <is>
          <t>Amperon secures $20M series B, plans to expand platform - InnovationMap</t>
        </is>
      </c>
      <c r="D120" s="6" t="inlineStr">
        <is>
          <t>https://houston.innovationmap.com/amperon-series-b-energize-capital-2665788414.html</t>
        </is>
      </c>
      <c r="E120" s="6" t="inlineStr">
        <is>
          <t>2026-09-28</t>
        </is>
      </c>
      <c r="F120" s="6" t="inlineStr">
        <is>
          <t>October 4, 2023</t>
        </is>
      </c>
      <c r="G120" s="6" t="inlineStr">
        <is>
          <t>'Landscape'!B11:J11; 'Landscape'!B16; 'Capital'!B9:H9; 'Capital'!B15</t>
        </is>
      </c>
    </row>
    <row r="121">
      <c r="B121" s="7" t="inlineStr">
        <is>
          <t>S116</t>
        </is>
      </c>
      <c r="C121" s="7" t="inlineStr">
        <is>
          <t>Amperon: Funding, Team &amp; Investors | Startup Intros</t>
        </is>
      </c>
      <c r="D121" s="7" t="inlineStr">
        <is>
          <t>https://startupintros.com/orgs/amperon</t>
        </is>
      </c>
      <c r="E121" s="7" t="inlineStr">
        <is>
          <t>2026-09-28</t>
        </is>
      </c>
      <c r="F121" s="7" t="inlineStr">
        <is>
          <t>April 15, 2026</t>
        </is>
      </c>
      <c r="G121" s="7" t="inlineStr">
        <is>
          <t>searched, not cited in a cell</t>
        </is>
      </c>
    </row>
    <row r="122">
      <c r="B122" s="6" t="inlineStr">
        <is>
          <t>S117</t>
        </is>
      </c>
      <c r="C122" s="6" t="inlineStr">
        <is>
          <t>Amperon Raises $20 Million Series B Led by Energize Capital</t>
        </is>
      </c>
      <c r="D122" s="6" t="inlineStr">
        <is>
          <t>https://www.amperon.co/blog/amperon-raises-20-million-series-b-led-by-energize-capital</t>
        </is>
      </c>
      <c r="E122" s="6" t="inlineStr">
        <is>
          <t>2026-09-28</t>
        </is>
      </c>
      <c r="F122" s="6" t="inlineStr">
        <is>
          <t>October 3, 2023</t>
        </is>
      </c>
      <c r="G122" s="6" t="inlineStr">
        <is>
          <t>searched, not cited in a cell</t>
        </is>
      </c>
    </row>
    <row r="123">
      <c r="B123" s="7" t="inlineStr">
        <is>
          <t>S118</t>
        </is>
      </c>
      <c r="C123" s="7" t="inlineStr">
        <is>
          <t>Amperon raises $20M series B from Energize Capital, others - Energy Capital</t>
        </is>
      </c>
      <c r="D123" s="7" t="inlineStr">
        <is>
          <t>https://energycapitalhtx.com/amperon-electricity-ai-series-b</t>
        </is>
      </c>
      <c r="E123" s="7" t="inlineStr">
        <is>
          <t>2026-09-28</t>
        </is>
      </c>
      <c r="F123" s="7" t="inlineStr">
        <is>
          <t>October 3, 2023</t>
        </is>
      </c>
      <c r="G123" s="7" t="inlineStr">
        <is>
          <t>searched, not cited in a cell</t>
        </is>
      </c>
    </row>
    <row r="124">
      <c r="B124" s="6" t="inlineStr">
        <is>
          <t>S119</t>
        </is>
      </c>
      <c r="C124" s="6" t="inlineStr">
        <is>
          <t>How Much Did Amperon Raise? Funding &amp; Key Investors | Clay</t>
        </is>
      </c>
      <c r="D124" s="6" t="inlineStr">
        <is>
          <t>https://www.clay.com/dossier/amperon-funding</t>
        </is>
      </c>
      <c r="E124" s="6" t="inlineStr">
        <is>
          <t>2026-09-28</t>
        </is>
      </c>
      <c r="F124" s="6" t="inlineStr"/>
      <c r="G124" s="6" t="inlineStr">
        <is>
          <t>'Landscape'!B11:J11; 'Landscape'!B16; 'Capital'!B13:H13; 'Capital'!B15</t>
        </is>
      </c>
    </row>
    <row r="125">
      <c r="B125" s="7" t="inlineStr">
        <is>
          <t>S120</t>
        </is>
      </c>
      <c r="C125" s="7" t="inlineStr">
        <is>
          <t>Amperon - 2026 Company Profile, Team, Funding &amp; Competitors - Tracxn</t>
        </is>
      </c>
      <c r="D125" s="7" t="inlineStr">
        <is>
          <t>https://tracxn.com/d/companies/amperon/__h0xFebYXLolm-wog0R3z6kmqBNweeJ5huDOg4vk7mfs</t>
        </is>
      </c>
      <c r="E125" s="7" t="inlineStr">
        <is>
          <t>2026-09-28</t>
        </is>
      </c>
      <c r="F125" s="7" t="inlineStr">
        <is>
          <t>August 3, 2026</t>
        </is>
      </c>
      <c r="G125" s="7" t="inlineStr">
        <is>
          <t>'Landscape'!B11:J11; 'Landscape'!B16</t>
        </is>
      </c>
    </row>
    <row r="126">
      <c r="B126" s="6" t="inlineStr">
        <is>
          <t>S121</t>
        </is>
      </c>
      <c r="C126" s="6" t="inlineStr">
        <is>
          <t>Amperon Raises $20 Million Series B to Accelerate Energy Analytics and Grid Decarbonization</t>
        </is>
      </c>
      <c r="D126" s="6" t="inlineStr">
        <is>
          <t>https://www.amperon.co/newsroom/amperon-raises-20-million-series-b-to-accelerate-energy-analytics-and-grid-decarbonization</t>
        </is>
      </c>
      <c r="E126" s="6" t="inlineStr">
        <is>
          <t>2026-09-28</t>
        </is>
      </c>
      <c r="F126" s="6" t="inlineStr">
        <is>
          <t>February 24, 2026</t>
        </is>
      </c>
      <c r="G126" s="6" t="inlineStr">
        <is>
          <t>searched, not cited in a cell</t>
        </is>
      </c>
    </row>
    <row r="127">
      <c r="B127" s="7" t="inlineStr">
        <is>
          <t>S122</t>
        </is>
      </c>
      <c r="C127" s="7" t="inlineStr">
        <is>
          <t>Amperon Raises $20 Million Series B to Accelerate Energy Analytics and Grid Decarbonization</t>
        </is>
      </c>
      <c r="D127" s="7" t="inlineStr">
        <is>
          <t>https://www.prnewswire.com/news-releases/amperon-raises-20-million-series-b-to-accelerate-energy-analytics-and-grid-decarbonization-301945806.html</t>
        </is>
      </c>
      <c r="E127" s="7" t="inlineStr">
        <is>
          <t>2026-09-28</t>
        </is>
      </c>
      <c r="F127" s="7" t="inlineStr">
        <is>
          <t>October 3, 2023</t>
        </is>
      </c>
      <c r="G127" s="7" t="inlineStr">
        <is>
          <t>searched, not cited in a cell</t>
        </is>
      </c>
    </row>
    <row r="128">
      <c r="B128" s="6" t="inlineStr">
        <is>
          <t>S123</t>
        </is>
      </c>
      <c r="C128" s="6" t="inlineStr">
        <is>
          <t>Amperon announces $2M seed round</t>
        </is>
      </c>
      <c r="D128" s="6" t="inlineStr">
        <is>
          <t>https://www.amperon.co/newsroom/2m-seed-round</t>
        </is>
      </c>
      <c r="E128" s="6" t="inlineStr">
        <is>
          <t>2026-09-28</t>
        </is>
      </c>
      <c r="F128" s="6" t="inlineStr">
        <is>
          <t>December 4, 2023</t>
        </is>
      </c>
      <c r="G128" s="6" t="inlineStr">
        <is>
          <t>searched, not cited in a cell</t>
        </is>
      </c>
    </row>
    <row r="129">
      <c r="B129" s="7" t="inlineStr">
        <is>
          <t>S124</t>
        </is>
      </c>
      <c r="C129" s="7" t="inlineStr">
        <is>
          <t>Voltus raises $31M to unleash the full potential of DERs</t>
        </is>
      </c>
      <c r="D129" s="7" t="inlineStr">
        <is>
          <t>https://www.voltus.co/press/voltus-raises-31-million-to-unleash-the-full-potential-of-distributed-energy-resources</t>
        </is>
      </c>
      <c r="E129" s="7" t="inlineStr">
        <is>
          <t>2026-09-28</t>
        </is>
      </c>
      <c r="F129" s="7" t="inlineStr">
        <is>
          <t>May 12, 2021</t>
        </is>
      </c>
      <c r="G129" s="7" t="inlineStr">
        <is>
          <t>searched, not cited in a cell</t>
        </is>
      </c>
    </row>
    <row r="130">
      <c r="B130" s="6" t="inlineStr">
        <is>
          <t>S125</t>
        </is>
      </c>
      <c r="C130" s="6" t="inlineStr">
        <is>
          <t>Voltus 2026 Company Profile: Valuation, Funding &amp; Investors | PitchBook</t>
        </is>
      </c>
      <c r="D130" s="6" t="inlineStr">
        <is>
          <t>https://pitchbook.com/profiles/company/117253-27</t>
        </is>
      </c>
      <c r="E130" s="6" t="inlineStr">
        <is>
          <t>2026-09-28</t>
        </is>
      </c>
      <c r="F130" s="6" t="inlineStr"/>
      <c r="G130" s="6" t="inlineStr">
        <is>
          <t>searched, not cited in a cell</t>
        </is>
      </c>
    </row>
    <row r="131">
      <c r="B131" s="7" t="inlineStr">
        <is>
          <t>S126</t>
        </is>
      </c>
      <c r="C131" s="7" t="inlineStr">
        <is>
          <t>How Much Did Voltus Raise? Funding &amp; Key Investors | TexA</t>
        </is>
      </c>
      <c r="D131" s="7" t="inlineStr">
        <is>
          <t>https://www.texau.com/profiles/voltus</t>
        </is>
      </c>
      <c r="E131" s="7" t="inlineStr">
        <is>
          <t>2026-09-28</t>
        </is>
      </c>
      <c r="F131" s="7" t="inlineStr"/>
      <c r="G131" s="7" t="inlineStr">
        <is>
          <t>searched, not cited in a cell</t>
        </is>
      </c>
    </row>
    <row r="132">
      <c r="B132" s="6" t="inlineStr">
        <is>
          <t>S127</t>
        </is>
      </c>
      <c r="C132" s="6" t="inlineStr">
        <is>
          <t>Voltus - 2026 Company Profile, Team, Funding &amp; Competitors - Tracxn</t>
        </is>
      </c>
      <c r="D132" s="6" t="inlineStr">
        <is>
          <t>https://tracxn.com/d/companies/voltus/__3fkTfA_NnmOTlmYQYEWNLgAnvqxXAR5fJMB7Z9ZoFwU</t>
        </is>
      </c>
      <c r="E132" s="6" t="inlineStr">
        <is>
          <t>2026-09-28</t>
        </is>
      </c>
      <c r="F132" s="6" t="inlineStr">
        <is>
          <t>August 12, 2026</t>
        </is>
      </c>
      <c r="G132" s="6" t="inlineStr">
        <is>
          <t>searched, not cited in a cell</t>
        </is>
      </c>
    </row>
    <row r="133">
      <c r="B133" s="7" t="inlineStr">
        <is>
          <t>S128</t>
        </is>
      </c>
      <c r="C133" s="7" t="inlineStr">
        <is>
          <t>Voltstorage Receives $24 Million In Series C Funding - Mercom Capital Group</t>
        </is>
      </c>
      <c r="D133" s="7" t="inlineStr">
        <is>
          <t>https://mercomcapital.com/voltstorage-receives-24-million/</t>
        </is>
      </c>
      <c r="E133" s="7" t="inlineStr">
        <is>
          <t>2026-09-28</t>
        </is>
      </c>
      <c r="F133" s="7" t="inlineStr">
        <is>
          <t>August 1, 2022</t>
        </is>
      </c>
      <c r="G133" s="7" t="inlineStr">
        <is>
          <t>searched, not cited in a cell</t>
        </is>
      </c>
    </row>
    <row r="134">
      <c r="B134" s="6" t="inlineStr">
        <is>
          <t>S129</t>
        </is>
      </c>
      <c r="C134" s="6" t="inlineStr">
        <is>
          <t>Voltus - 2026 Funding Rounds &amp; List of Investors - Tracxn</t>
        </is>
      </c>
      <c r="D134" s="6" t="inlineStr">
        <is>
          <t>https://tracxn.com/d/companies/voltus/__3fkTfA_NnmOTlmYQYEWNLgAnvqxXAR5fJMB7Z9ZoFwU/funding-and-investors</t>
        </is>
      </c>
      <c r="E134" s="6" t="inlineStr">
        <is>
          <t>2026-09-28</t>
        </is>
      </c>
      <c r="F134" s="6" t="inlineStr">
        <is>
          <t>February 5, 2026</t>
        </is>
      </c>
      <c r="G134" s="6" t="inlineStr">
        <is>
          <t>searched, not cited in a cell</t>
        </is>
      </c>
    </row>
    <row r="135">
      <c r="B135" s="7" t="inlineStr">
        <is>
          <t>S130</t>
        </is>
      </c>
      <c r="C135" s="7" t="inlineStr">
        <is>
          <t>VoltStorage 2026 Company Profile: Valuation, Funding &amp; Investors | PitchBook</t>
        </is>
      </c>
      <c r="D135" s="7" t="inlineStr">
        <is>
          <t>https://pitchbook.com/profiles/company/149253-40</t>
        </is>
      </c>
      <c r="E135" s="7" t="inlineStr">
        <is>
          <t>2026-09-28</t>
        </is>
      </c>
      <c r="F135" s="7" t="inlineStr"/>
      <c r="G135" s="7" t="inlineStr">
        <is>
          <t>searched, not cited in a cell</t>
        </is>
      </c>
    </row>
    <row r="136">
      <c r="B136" s="6" t="inlineStr">
        <is>
          <t>S131</t>
        </is>
      </c>
      <c r="C136" s="6" t="inlineStr">
        <is>
          <t>VoltStorage - 2026 Funding Rounds &amp; List of Investors - Tracxn</t>
        </is>
      </c>
      <c r="D136" s="6" t="inlineStr">
        <is>
          <t>https://tracxn.com/d/companies/voltstorage/__4N5OXd9swRtXbbgmEoWfZtNzQriwcZF6eXnl0vu4NlY/funding-and-investors</t>
        </is>
      </c>
      <c r="E136" s="6" t="inlineStr">
        <is>
          <t>2026-09-28</t>
        </is>
      </c>
      <c r="F136" s="6" t="inlineStr">
        <is>
          <t>July 18, 2026</t>
        </is>
      </c>
      <c r="G136" s="6" t="inlineStr">
        <is>
          <t>searched, not cited in a cell</t>
        </is>
      </c>
    </row>
    <row r="137">
      <c r="B137" s="7" t="inlineStr">
        <is>
          <t>S132</t>
        </is>
      </c>
      <c r="C137" s="7" t="inlineStr">
        <is>
          <t>Total Raised</t>
        </is>
      </c>
      <c r="D137" s="7" t="inlineStr">
        <is>
          <t>https://www.cbinsights.com/company/voltus/financials</t>
        </is>
      </c>
      <c r="E137" s="7" t="inlineStr">
        <is>
          <t>2026-09-28</t>
        </is>
      </c>
      <c r="F137" s="7" t="inlineStr"/>
      <c r="G137" s="7" t="inlineStr">
        <is>
          <t>searched, not cited in a cell</t>
        </is>
      </c>
    </row>
    <row r="138">
      <c r="B138" s="6" t="inlineStr">
        <is>
          <t>S133</t>
        </is>
      </c>
      <c r="C138" s="6" t="inlineStr">
        <is>
          <t>FlexGen Power Raises $100 Million in Series C Funding - Mercom Capital Group</t>
        </is>
      </c>
      <c r="D138" s="6" t="inlineStr">
        <is>
          <t>https://mercomcapital.com/flexgen-raises-100-million/</t>
        </is>
      </c>
      <c r="E138" s="6" t="inlineStr">
        <is>
          <t>2026-09-28</t>
        </is>
      </c>
      <c r="F138" s="6" t="inlineStr">
        <is>
          <t>July 25, 2022</t>
        </is>
      </c>
      <c r="G138" s="6" t="inlineStr">
        <is>
          <t>'Landscape'!B13:J13; 'Landscape'!B16</t>
        </is>
      </c>
    </row>
    <row r="139">
      <c r="B139" s="7" t="inlineStr">
        <is>
          <t>S134</t>
        </is>
      </c>
      <c r="C139" s="7" t="inlineStr">
        <is>
          <t>FlexGen's $100M Series C is the latest sign of the Southeast's battery power</t>
        </is>
      </c>
      <c r="D139" s="7" t="inlineStr">
        <is>
          <t>https://hypepotamus.com/startup-news/flexgens-100m-series-c-is-the-latest-sign-of-the-southeasts-battery-power/</t>
        </is>
      </c>
      <c r="E139" s="7" t="inlineStr">
        <is>
          <t>2026-09-28</t>
        </is>
      </c>
      <c r="F139" s="7" t="inlineStr">
        <is>
          <t>March 24, 2026</t>
        </is>
      </c>
      <c r="G139" s="7" t="inlineStr">
        <is>
          <t>'Landscape'!B13:J13; 'Landscape'!B16</t>
        </is>
      </c>
    </row>
    <row r="140">
      <c r="B140" s="6" t="inlineStr">
        <is>
          <t>S135</t>
        </is>
      </c>
      <c r="C140" s="6" t="inlineStr">
        <is>
          <t>Energy trader Vitol in BESS integrator FlexGen's US$100 million Series C</t>
        </is>
      </c>
      <c r="D140" s="6" t="inlineStr">
        <is>
          <t>https://www.energy-storage.news/energy-trader-vitol-leads-us100-million-funding-round-for-bess-system-integrator-flexgen/</t>
        </is>
      </c>
      <c r="E140" s="6" t="inlineStr">
        <is>
          <t>2026-09-28</t>
        </is>
      </c>
      <c r="F140" s="6" t="inlineStr">
        <is>
          <t>May 31, 2023</t>
        </is>
      </c>
      <c r="G140" s="6" t="inlineStr">
        <is>
          <t>searched, not cited in a cell</t>
        </is>
      </c>
    </row>
    <row r="141">
      <c r="B141" s="7" t="inlineStr">
        <is>
          <t>S136</t>
        </is>
      </c>
      <c r="C141" s="7" t="inlineStr">
        <is>
          <t>FlexGen Announces $100 Million Series C to Power Continued Growth | FlexGen</t>
        </is>
      </c>
      <c r="D141" s="7" t="inlineStr">
        <is>
          <t>https://www.flexgen.com/blog/flexgen-announces-100-million-series-c-power-continued-growth</t>
        </is>
      </c>
      <c r="E141" s="7" t="inlineStr">
        <is>
          <t>2026-09-28</t>
        </is>
      </c>
      <c r="F141" s="7" t="inlineStr"/>
      <c r="G141" s="7" t="inlineStr">
        <is>
          <t>'Landscape'!B13:J13; 'Landscape'!B16</t>
        </is>
      </c>
    </row>
    <row r="142">
      <c r="B142" s="6" t="inlineStr">
        <is>
          <t>S137</t>
        </is>
      </c>
      <c r="C142" s="6" t="inlineStr">
        <is>
          <t>Vitol invests in energy storage solutions provider FlexGen - Vitol.com</t>
        </is>
      </c>
      <c r="D142" s="6" t="inlineStr">
        <is>
          <t>https://www.vitol.com/vitol-invests-in-energy-storage-solutions-provider-flexgen/</t>
        </is>
      </c>
      <c r="E142" s="6" t="inlineStr">
        <is>
          <t>2026-09-28</t>
        </is>
      </c>
      <c r="F142" s="6" t="inlineStr">
        <is>
          <t>June 13, 2024</t>
        </is>
      </c>
      <c r="G142" s="6" t="inlineStr">
        <is>
          <t>'Landscape'!B13:J13; 'Landscape'!B16</t>
        </is>
      </c>
    </row>
    <row r="143">
      <c r="B143" s="7" t="inlineStr">
        <is>
          <t>S138</t>
        </is>
      </c>
      <c r="C143" s="7" t="inlineStr">
        <is>
          <t>Durham battery storage company raises $100 million</t>
        </is>
      </c>
      <c r="D143" s="7" t="inlineStr">
        <is>
          <t>https://www.axios.com/local/raleigh/2022/07/21/durham-battery-storage-company-raises-100-million</t>
        </is>
      </c>
      <c r="E143" s="7" t="inlineStr">
        <is>
          <t>2026-09-28</t>
        </is>
      </c>
      <c r="F143" s="7" t="inlineStr">
        <is>
          <t>July 21, 2022</t>
        </is>
      </c>
      <c r="G143" s="7" t="inlineStr">
        <is>
          <t>searched, not cited in a cell</t>
        </is>
      </c>
    </row>
    <row r="144">
      <c r="B144" s="6" t="inlineStr">
        <is>
          <t>S139</t>
        </is>
      </c>
      <c r="C144" s="6" t="inlineStr">
        <is>
          <t>Vitol anchors USD-100m investment in FlexGen | Energy Storage News | Renewables Now</t>
        </is>
      </c>
      <c r="D144" s="6" t="inlineStr">
        <is>
          <t>https://renewablesnow.com/news/vitol-anchors-usd-100m-investment-in-flexgen-792161/</t>
        </is>
      </c>
      <c r="E144" s="6" t="inlineStr">
        <is>
          <t>2026-09-28</t>
        </is>
      </c>
      <c r="F144" s="6" t="inlineStr">
        <is>
          <t>July 20, 2022</t>
        </is>
      </c>
      <c r="G144" s="6" t="inlineStr">
        <is>
          <t>searched, not cited in a cell</t>
        </is>
      </c>
    </row>
    <row r="145">
      <c r="B145" s="7" t="inlineStr">
        <is>
          <t>S140</t>
        </is>
      </c>
      <c r="C145" s="7" t="inlineStr">
        <is>
          <t>FlexGen Announces $100 Million Series C to Power Continued Growth</t>
        </is>
      </c>
      <c r="D145" s="7" t="inlineStr">
        <is>
          <t>https://www.prnewswire.com/news-releases/flexgen-announces-100-million-series-c-to-power-continued-growth-301588894.html</t>
        </is>
      </c>
      <c r="E145" s="7" t="inlineStr">
        <is>
          <t>2026-09-28</t>
        </is>
      </c>
      <c r="F145" s="7" t="inlineStr">
        <is>
          <t>July 19, 2022</t>
        </is>
      </c>
      <c r="G145" s="7" t="inlineStr">
        <is>
          <t>'Fundamentals'!B25:F25; 'Fundamentals'!B27; 'Landscape'!B13:J13; 'Landscape'!B16; 'Capital'!B8:H8; 'Capital'!B15</t>
        </is>
      </c>
    </row>
    <row r="146">
      <c r="B146" s="6" t="inlineStr">
        <is>
          <t>S141</t>
        </is>
      </c>
      <c r="C146" s="6" t="inlineStr">
        <is>
          <t>FlexGen: Developing innovative storage solutions for renewable power - Vitol ESG</t>
        </is>
      </c>
      <c r="D146" s="6" t="inlineStr">
        <is>
          <t>https://www.vitolesg.com/flexgen-developing-innovative-storage-solutions-for-renewable-power/</t>
        </is>
      </c>
      <c r="E146" s="6" t="inlineStr">
        <is>
          <t>2026-09-28</t>
        </is>
      </c>
      <c r="F146" s="6" t="inlineStr">
        <is>
          <t>May 30, 2025</t>
        </is>
      </c>
      <c r="G146" s="6" t="inlineStr">
        <is>
          <t>searched, not cited in a cell</t>
        </is>
      </c>
    </row>
    <row r="147">
      <c r="B147" s="7" t="inlineStr">
        <is>
          <t>S142</t>
        </is>
      </c>
      <c r="C147" s="7" t="inlineStr">
        <is>
          <t>Fluence Energy, Inc. - Form 8-K - FY2025</t>
        </is>
      </c>
      <c r="D147" s="7" t="inlineStr">
        <is>
          <t>https://www.sec.gov/Archives/edgar/data/1868941/000186894125000013/flncq1fy25earningspressrel.htm</t>
        </is>
      </c>
      <c r="E147" s="7" t="inlineStr">
        <is>
          <t>2026-09-28</t>
        </is>
      </c>
      <c r="F147" s="7" t="inlineStr"/>
      <c r="G147" s="7" t="inlineStr">
        <is>
          <t>searched, not cited in a cell</t>
        </is>
      </c>
    </row>
    <row r="148">
      <c r="B148" s="6" t="inlineStr">
        <is>
          <t>S143</t>
        </is>
      </c>
      <c r="C148" s="6" t="inlineStr">
        <is>
          <t>Fluence Energy, Inc. - Form 8-K - FY2025</t>
        </is>
      </c>
      <c r="D148" s="6" t="inlineStr">
        <is>
          <t>https://www.sec.gov/Archives/edgar/data/1868941/000186894125000075/flncq3fy25earningspressrel.htm</t>
        </is>
      </c>
      <c r="E148" s="6" t="inlineStr">
        <is>
          <t>2026-09-28</t>
        </is>
      </c>
      <c r="F148" s="6" t="inlineStr"/>
      <c r="G148" s="6" t="inlineStr">
        <is>
          <t>'Landscape'!B14:J14; 'Landscape'!B16; 'Incumbents'!B8:H8; 'Incumbents'!B16</t>
        </is>
      </c>
    </row>
    <row r="149">
      <c r="B149" s="7" t="inlineStr">
        <is>
          <t>S144</t>
        </is>
      </c>
      <c r="C149" s="7" t="inlineStr">
        <is>
          <t>Fluence Energy, Inc. - Form 8-K - FY2025</t>
        </is>
      </c>
      <c r="D149" s="7" t="inlineStr">
        <is>
          <t>https://www.sec.gov/Archives/edgar/data/1868941/000186894125000079/flncq4andfullfy25earningsp.htm</t>
        </is>
      </c>
      <c r="E149" s="7" t="inlineStr">
        <is>
          <t>2026-09-28</t>
        </is>
      </c>
      <c r="F149" s="7" t="inlineStr"/>
      <c r="G149" s="7" t="inlineStr">
        <is>
          <t>'Fundamentals'!B20:F20; 'Fundamentals'!B27; 'Landscape'!B14:J14; 'Landscape'!B16; 'Incumbents'!B7:H7; 'Incumbents'!B16</t>
        </is>
      </c>
    </row>
    <row r="150">
      <c r="B150" s="6" t="inlineStr">
        <is>
          <t>S145</t>
        </is>
      </c>
      <c r="C150" s="6" t="inlineStr">
        <is>
          <t>Fluence Energy, Inc. - Form 8-K - FY2025</t>
        </is>
      </c>
      <c r="D150" s="6" t="inlineStr">
        <is>
          <t>https://www.sec.gov/Archives/edgar/data/1868941/000186894125000055/flncq2fy25earningspressrel.htm</t>
        </is>
      </c>
      <c r="E150" s="6" t="inlineStr">
        <is>
          <t>2026-09-28</t>
        </is>
      </c>
      <c r="F150" s="6" t="inlineStr"/>
      <c r="G150" s="6" t="inlineStr">
        <is>
          <t>searched, not cited in a cell</t>
        </is>
      </c>
    </row>
    <row r="151">
      <c r="B151" s="7" t="inlineStr">
        <is>
          <t>S146</t>
        </is>
      </c>
      <c r="C151" s="7" t="inlineStr">
        <is>
          <t>Fluence Energy, Inc. Reports Third Quarter 2025 Results; Reaffirms Fiscal Year 2025 Guidance | Fluence</t>
        </is>
      </c>
      <c r="D151" s="7" t="inlineStr">
        <is>
          <t>https://ir.fluenceenergy.com/news-releases/news-release-details/fluence-energy-inc-reports-third-quarter-2025-results-reaffirms</t>
        </is>
      </c>
      <c r="E151" s="7" t="inlineStr">
        <is>
          <t>2026-09-28</t>
        </is>
      </c>
      <c r="F151" s="7" t="inlineStr"/>
      <c r="G151" s="7" t="inlineStr">
        <is>
          <t>searched, not cited in a cell</t>
        </is>
      </c>
    </row>
    <row r="152">
      <c r="B152" s="6" t="inlineStr">
        <is>
          <t>S147</t>
        </is>
      </c>
      <c r="C152" s="6" t="inlineStr">
        <is>
          <t>Fluence Energy, Inc. Reports 2025 Financial Results and Initiates 2026 Guidance</t>
        </is>
      </c>
      <c r="D152" s="6" t="inlineStr">
        <is>
          <t>https://www.globenewswire.com/news-release/2025/11/24/3193926/0/en/Fluence-Energy-Inc-Reports-2025-Financial-Results-and-Initiates-2026-Guidance.html</t>
        </is>
      </c>
      <c r="E152" s="6" t="inlineStr">
        <is>
          <t>2026-09-28</t>
        </is>
      </c>
      <c r="F152" s="6" t="inlineStr">
        <is>
          <t>November 24, 2025</t>
        </is>
      </c>
      <c r="G152" s="6" t="inlineStr">
        <is>
          <t>searched, not cited in a cell</t>
        </is>
      </c>
    </row>
    <row r="153">
      <c r="B153" s="7" t="inlineStr">
        <is>
          <t>S148</t>
        </is>
      </c>
      <c r="C153" s="7" t="inlineStr">
        <is>
          <t>Battery energy storage operators and optimizers - and how to contact them - Research | Modo Energy</t>
        </is>
      </c>
      <c r="D153" s="7" t="inlineStr">
        <is>
          <t>https://modoenergy.com/research/battery-energy-storage-optimizers-operators-usa-ercot-caiso-miso-spp-pjm-nyiso-isone-serc-wecc</t>
        </is>
      </c>
      <c r="E153" s="7" t="inlineStr">
        <is>
          <t>2026-09-28</t>
        </is>
      </c>
      <c r="F153" s="7" t="inlineStr">
        <is>
          <t>April 16, 2025</t>
        </is>
      </c>
      <c r="G153" s="7" t="inlineStr">
        <is>
          <t>searched, not cited in a cell</t>
        </is>
      </c>
    </row>
    <row r="154">
      <c r="B154" s="6" t="inlineStr">
        <is>
          <t>S149</t>
        </is>
      </c>
      <c r="C154" s="6" t="inlineStr">
        <is>
          <t>GridBeyond launches Bid Optimizer to boost batteries profits | GridBeyond</t>
        </is>
      </c>
      <c r="D154" s="6" t="inlineStr">
        <is>
          <t>https://gridbeyond.com/gridbeyond-launches-bid-optimizer-to-boost-batteries-profits/</t>
        </is>
      </c>
      <c r="E154" s="6" t="inlineStr">
        <is>
          <t>2026-09-28</t>
        </is>
      </c>
      <c r="F154" s="6" t="inlineStr">
        <is>
          <t>September 11, 2023</t>
        </is>
      </c>
      <c r="G154" s="6" t="inlineStr">
        <is>
          <t>searched, not cited in a cell</t>
        </is>
      </c>
    </row>
    <row r="155">
      <c r="B155" s="7" t="inlineStr">
        <is>
          <t>S150</t>
        </is>
      </c>
      <c r="C155" s="7" t="inlineStr">
        <is>
          <t>Mosaic Intelligent Bidding Software for Renewables and Energy Storage</t>
        </is>
      </c>
      <c r="D155" s="7" t="inlineStr">
        <is>
          <t>https://fluenceenergy.com/mosaic-intelligent-bidding-software/</t>
        </is>
      </c>
      <c r="E155" s="7" t="inlineStr">
        <is>
          <t>2026-09-28</t>
        </is>
      </c>
      <c r="F155" s="7" t="inlineStr">
        <is>
          <t>December 4, 2025</t>
        </is>
      </c>
      <c r="G155" s="7" t="inlineStr">
        <is>
          <t>searched, not cited in a cell</t>
        </is>
      </c>
    </row>
    <row r="156">
      <c r="B156" s="6" t="inlineStr">
        <is>
          <t>S151</t>
        </is>
      </c>
      <c r="C156" s="6" t="inlineStr">
        <is>
          <t>GridBeyond launches Bid Optimizer to boost batteries profits</t>
        </is>
      </c>
      <c r="D156" s="6" t="inlineStr">
        <is>
          <t>https://www.businesswire.com/news/home/20230912646574/en/GridBeyond-launches-Bid-Optimizer-to-boost-batteries-profits</t>
        </is>
      </c>
      <c r="E156" s="6" t="inlineStr">
        <is>
          <t>2026-09-28</t>
        </is>
      </c>
      <c r="F156" s="6" t="inlineStr">
        <is>
          <t>September 12, 2023</t>
        </is>
      </c>
      <c r="G156" s="6" t="inlineStr">
        <is>
          <t>searched, not cited in a cell</t>
        </is>
      </c>
    </row>
    <row r="157">
      <c r="B157" s="7" t="inlineStr">
        <is>
          <t>S152</t>
        </is>
      </c>
      <c r="C157" s="7" t="inlineStr">
        <is>
          <t>Grid Scale Stationary Battery Storage Market Outlook 2026-2035 - Featuring Profiles of Tesla, Fluence, and LG Energy Solution</t>
        </is>
      </c>
      <c r="D157" s="7" t="inlineStr">
        <is>
          <t>https://www.globenewswire.com/news-release/2026/09/25/3368913/28124/en/grid-scale-stationary-battery-storage-market-outlook-2026-2035-featuring-profiles-of-tesla-fluence-and-lg-energy-solution.html</t>
        </is>
      </c>
      <c r="E157" s="7" t="inlineStr">
        <is>
          <t>2026-09-28</t>
        </is>
      </c>
      <c r="F157" s="7" t="inlineStr">
        <is>
          <t>3 days ago</t>
        </is>
      </c>
      <c r="G157" s="7" t="inlineStr">
        <is>
          <t>searched, not cited in a cell</t>
        </is>
      </c>
    </row>
    <row r="158">
      <c r="B158" s="6" t="inlineStr">
        <is>
          <t>S153</t>
        </is>
      </c>
      <c r="C158" s="6" t="inlineStr">
        <is>
          <t>Grid Battery 13F: FLNC, STEM, EOSE | 13F Insight - 13F Insight</t>
        </is>
      </c>
      <c r="D158" s="6" t="inlineStr">
        <is>
          <t>https://13finsight.com/learn/gridscale-battery-13f-eose-fluence-decoder</t>
        </is>
      </c>
      <c r="E158" s="6" t="inlineStr">
        <is>
          <t>2026-09-28</t>
        </is>
      </c>
      <c r="F158" s="6" t="inlineStr">
        <is>
          <t>May 16, 2026</t>
        </is>
      </c>
      <c r="G158" s="6" t="inlineStr">
        <is>
          <t>searched, not cited in a cell</t>
        </is>
      </c>
    </row>
    <row r="159">
      <c r="B159" s="7" t="inlineStr">
        <is>
          <t>S154</t>
        </is>
      </c>
      <c r="C159" s="7" t="inlineStr">
        <is>
          <t>The New Grid Brains: 15 Software Leaders Powering Renewable Energy Orchestration - AdviceScout</t>
        </is>
      </c>
      <c r="D159" s="7" t="inlineStr">
        <is>
          <t>https://advicescout.com/the-new-grid-brains-15-software-leaders-powering-renewable-energy-orchestration/</t>
        </is>
      </c>
      <c r="E159" s="7" t="inlineStr">
        <is>
          <t>2026-09-28</t>
        </is>
      </c>
      <c r="F159" s="7" t="inlineStr">
        <is>
          <t>August 9, 2026</t>
        </is>
      </c>
      <c r="G159" s="7" t="inlineStr">
        <is>
          <t>searched, not cited in a cell</t>
        </is>
      </c>
    </row>
    <row r="160">
      <c r="B160" s="6" t="inlineStr">
        <is>
          <t>S155</t>
        </is>
      </c>
      <c r="C160" s="6" t="inlineStr">
        <is>
          <t>ERCOT battery profits drop as market saturation reshapes Texas storage</t>
        </is>
      </c>
      <c r="D160" s="6" t="inlineStr">
        <is>
          <t>https://www.enverus.com/newsroom/ercot-battery-profits-drop-as-market-saturation-reshapes-texas-storage/</t>
        </is>
      </c>
      <c r="E160" s="6" t="inlineStr">
        <is>
          <t>2026-09-28</t>
        </is>
      </c>
      <c r="F160" s="6" t="inlineStr">
        <is>
          <t>March 18, 2026</t>
        </is>
      </c>
      <c r="G160" s="6" t="inlineStr">
        <is>
          <t>searched, not cited in a cell</t>
        </is>
      </c>
    </row>
    <row r="161">
      <c r="B161" s="7" t="inlineStr">
        <is>
          <t>S156</t>
        </is>
      </c>
      <c r="C161" s="7" t="inlineStr">
        <is>
          <t>Battery energy storage revenues for ancillary services fall nearly 90% in ERCOT - pv magazine USA</t>
        </is>
      </c>
      <c r="D161" s="7" t="inlineStr">
        <is>
          <t>https://pv-magazine-usa.com/2025/11/21/battery-energy-storage-revenues-for-ancillary-services-fall-nearly-90-in-ercot/</t>
        </is>
      </c>
      <c r="E161" s="7" t="inlineStr">
        <is>
          <t>2026-09-28</t>
        </is>
      </c>
      <c r="F161" s="7" t="inlineStr">
        <is>
          <t>March 12, 2026</t>
        </is>
      </c>
      <c r="G161" s="7" t="inlineStr">
        <is>
          <t>searched, not cited in a cell</t>
        </is>
      </c>
    </row>
    <row r="162">
      <c r="B162" s="6" t="inlineStr">
        <is>
          <t>S157</t>
        </is>
      </c>
      <c r="C162" s="6" t="inlineStr">
        <is>
          <t>US Research Roundup: BESS insights and what you need to know from Q3 2025 - Research | Modo Energy</t>
        </is>
      </c>
      <c r="D162" s="6" t="inlineStr">
        <is>
          <t>https://modoenergy.com/research/en/ercot-pjm-caiso-nyiso-us-bess-research-roundup-q3-2025</t>
        </is>
      </c>
      <c r="E162" s="6" t="inlineStr">
        <is>
          <t>2026-09-28</t>
        </is>
      </c>
      <c r="F162" s="6" t="inlineStr">
        <is>
          <t>October 14, 2025</t>
        </is>
      </c>
      <c r="G162" s="6" t="inlineStr">
        <is>
          <t>searched, not cited in a cell</t>
        </is>
      </c>
    </row>
    <row r="163">
      <c r="B163" s="7" t="inlineStr">
        <is>
          <t>S158</t>
        </is>
      </c>
      <c r="C163" s="7" t="inlineStr">
        <is>
          <t>Why were ERCOT battery revenues so low in 2025? - Research | Modo Energy</t>
        </is>
      </c>
      <c r="D163" s="7" t="inlineStr">
        <is>
          <t>https://modoenergy.com/research/why-were-ercot-battery-revenues-so-low-in-2025-weather-energy-arbitrage-builodout</t>
        </is>
      </c>
      <c r="E163" s="7" t="inlineStr">
        <is>
          <t>2026-09-28</t>
        </is>
      </c>
      <c r="F163" s="7" t="inlineStr">
        <is>
          <t>February 3, 2026</t>
        </is>
      </c>
      <c r="G163" s="7" t="inlineStr">
        <is>
          <t>searched, not cited in a cell</t>
        </is>
      </c>
    </row>
    <row r="164">
      <c r="B164" s="6" t="inlineStr">
        <is>
          <t>S159</t>
        </is>
      </c>
      <c r="C164" s="6" t="inlineStr">
        <is>
          <t>ERCOT: Are Ancillary Services now saturated with battery energy storage? - Research | Modo Energy</t>
        </is>
      </c>
      <c r="D164" s="6" t="inlineStr">
        <is>
          <t>https://modoenergy.com/research/ercot-ancillary-services-saturation-battery-energy-storage-clearing-prices-all-time-low-offer-price-comparison-june-july-2024</t>
        </is>
      </c>
      <c r="E164" s="6" t="inlineStr">
        <is>
          <t>2026-09-28</t>
        </is>
      </c>
      <c r="F164" s="6" t="inlineStr"/>
      <c r="G164" s="6" t="inlineStr">
        <is>
          <t>searched, not cited in a cell</t>
        </is>
      </c>
    </row>
    <row r="165">
      <c r="B165" s="7" t="inlineStr">
        <is>
          <t>S160</t>
        </is>
      </c>
      <c r="C165" s="7" t="inlineStr">
        <is>
          <t>ERCOT: BESS revenues are down, but what could restore them? - Research | Modo Energy</t>
        </is>
      </c>
      <c r="D165" s="7" t="inlineStr">
        <is>
          <t>https://modoenergy.com/research/en/ercot-bess-revenues-outlook-load-growth-thermal-retirements-bridging-solutions</t>
        </is>
      </c>
      <c r="E165" s="7" t="inlineStr">
        <is>
          <t>2026-09-28</t>
        </is>
      </c>
      <c r="F165" s="7" t="inlineStr">
        <is>
          <t>February 4, 2026</t>
        </is>
      </c>
      <c r="G165" s="7" t="inlineStr">
        <is>
          <t>searched, not cited in a cell</t>
        </is>
      </c>
    </row>
    <row r="166">
      <c r="B166" s="6" t="inlineStr">
        <is>
          <t>S161</t>
        </is>
      </c>
      <c r="C166" s="6" t="inlineStr">
        <is>
          <t>MMC ENERGY, INC. - Form 10-Q - FY2008</t>
        </is>
      </c>
      <c r="D166" s="6" t="inlineStr">
        <is>
          <t>https://www.sec.gov/Archives/edgar/data/0001312206/000114420408028680/v113761_10q.htm</t>
        </is>
      </c>
      <c r="E166" s="6" t="inlineStr">
        <is>
          <t>2026-09-28</t>
        </is>
      </c>
      <c r="F166" s="6" t="inlineStr"/>
      <c r="G166" s="6" t="inlineStr">
        <is>
          <t>searched, not cited in a cell</t>
        </is>
      </c>
    </row>
    <row r="167">
      <c r="B167" s="7" t="inlineStr">
        <is>
          <t>S162</t>
        </is>
      </c>
      <c r="C167" s="7" t="inlineStr">
        <is>
          <t>LFP BESS Revenue Stacking 2026: Applications in ERCOT and CAISO - Battery Energy Storage System (BESS) Manufacturer | LFP &amp; Sodium-Ion</t>
        </is>
      </c>
      <c r="D167" s="7" t="inlineStr">
        <is>
          <t>https://nextgpower.com/lfp-bess-revenue-stacking-2026-applications-in-ercot-and-caiso/</t>
        </is>
      </c>
      <c r="E167" s="7" t="inlineStr">
        <is>
          <t>2026-09-28</t>
        </is>
      </c>
      <c r="F167" s="7" t="inlineStr">
        <is>
          <t>July 27, 2026</t>
        </is>
      </c>
      <c r="G167" s="7" t="inlineStr">
        <is>
          <t>searched, not cited in a cell</t>
        </is>
      </c>
    </row>
    <row r="168">
      <c r="B168" s="6" t="inlineStr">
        <is>
          <t>S163</t>
        </is>
      </c>
      <c r="C168" s="6" t="inlineStr">
        <is>
          <t>Why performance, not volume, now defines California’s saturated battery market - Rabobank</t>
        </is>
      </c>
      <c r="D168" s="6" t="inlineStr">
        <is>
          <t>https://www.rabobank.com/knowledge/d011477894-why-performance-not-volume-now-defines-californias-saturated-battery-market</t>
        </is>
      </c>
      <c r="E168" s="6" t="inlineStr">
        <is>
          <t>2026-09-28</t>
        </is>
      </c>
      <c r="F168" s="6" t="inlineStr">
        <is>
          <t>June 12, 2026</t>
        </is>
      </c>
      <c r="G168" s="6" t="inlineStr">
        <is>
          <t>searched, not cited in a cell</t>
        </is>
      </c>
    </row>
    <row r="169">
      <c r="B169" s="7" t="inlineStr">
        <is>
          <t>S164</t>
        </is>
      </c>
      <c r="C169" s="7" t="inlineStr">
        <is>
          <t>FERC Outlook for Energy Storage and Inverter-Based Resources</t>
        </is>
      </c>
      <c r="D169" s="7" t="inlineStr">
        <is>
          <t>https://www.morganlewis.com/pubs/2026/03/federal-regulatory-outlook-for-electric-storage-qfs-and-inverter-based-resources</t>
        </is>
      </c>
      <c r="E169" s="7" t="inlineStr">
        <is>
          <t>2026-09-28</t>
        </is>
      </c>
      <c r="F169" s="7" t="inlineStr">
        <is>
          <t>March 13, 2026</t>
        </is>
      </c>
      <c r="G169" s="7" t="inlineStr">
        <is>
          <t>searched, not cited in a cell</t>
        </is>
      </c>
    </row>
    <row r="170">
      <c r="B170" s="6" t="inlineStr">
        <is>
          <t>S165</t>
        </is>
      </c>
      <c r="C170" s="6" t="inlineStr">
        <is>
          <t>Storage Participation in Wholesale Markets</t>
        </is>
      </c>
      <c r="D170" s="6" t="inlineStr">
        <is>
          <t>https://www.morganlewis.com/pubs/2023/03/storage-participation-in-wholesale-markets</t>
        </is>
      </c>
      <c r="E170" s="6" t="inlineStr">
        <is>
          <t>2026-09-28</t>
        </is>
      </c>
      <c r="F170" s="6" t="inlineStr">
        <is>
          <t>March 8, 2023</t>
        </is>
      </c>
      <c r="G170" s="6" t="inlineStr">
        <is>
          <t>searched, not cited in a cell</t>
        </is>
      </c>
    </row>
    <row r="171">
      <c r="B171" s="7" t="inlineStr">
        <is>
          <t>S166</t>
        </is>
      </c>
      <c r="C171" s="7" t="inlineStr">
        <is>
          <t>FERC Order No. 2222 Explainer: Facilitating Participation in Electricity Markets by Distributed Energy Resources[i] | Federal Energy Regulatory Commis</t>
        </is>
      </c>
      <c r="D171" s="7" t="inlineStr">
        <is>
          <t>https://www.ferc.gov/ferc-order-no-2222-explainer-facilitating-participation-electricity-markets-distributed-energy</t>
        </is>
      </c>
      <c r="E171" s="7" t="inlineStr">
        <is>
          <t>2026-09-28</t>
        </is>
      </c>
      <c r="F171" s="7" t="inlineStr"/>
      <c r="G171" s="7" t="inlineStr">
        <is>
          <t>searched, not cited in a cell</t>
        </is>
      </c>
    </row>
    <row r="172">
      <c r="B172" s="6" t="inlineStr">
        <is>
          <t>S167</t>
        </is>
      </c>
      <c r="C172" s="6" t="inlineStr">
        <is>
          <t>Opting In (or Out): FERC’s Approach to Integrating Electric Storage and Distributed Energy Resources | White &amp; Case LLP</t>
        </is>
      </c>
      <c r="D172" s="6" t="inlineStr">
        <is>
          <t>https://www.whitecase.com/insight-alert/opting-or-out-fercs-approach-integrating-electric-storage-and-distributed-energy</t>
        </is>
      </c>
      <c r="E172" s="6" t="inlineStr">
        <is>
          <t>2026-09-28</t>
        </is>
      </c>
      <c r="F172" s="6" t="inlineStr">
        <is>
          <t>September 24, 2020</t>
        </is>
      </c>
      <c r="G172" s="6" t="inlineStr">
        <is>
          <t>searched, not cited in a cell</t>
        </is>
      </c>
    </row>
    <row r="173">
      <c r="B173" s="7" t="inlineStr">
        <is>
          <t>S168</t>
        </is>
      </c>
      <c r="C173" s="7" t="inlineStr">
        <is>
          <t>How Recent FERC Orders Are Regulating Electric Storage, QFs, and Inverter-Based Resources</t>
        </is>
      </c>
      <c r="D173" s="7" t="inlineStr">
        <is>
          <t>https://www.morganlewis.com/pubs/2024/03/how-recent-ferc-orders-are-regulating-electric-storage-qfs-and-inverter-based-resources</t>
        </is>
      </c>
      <c r="E173" s="7" t="inlineStr">
        <is>
          <t>2026-09-28</t>
        </is>
      </c>
      <c r="F173" s="7" t="inlineStr">
        <is>
          <t>March 4, 2024</t>
        </is>
      </c>
      <c r="G173" s="7" t="inlineStr">
        <is>
          <t>searched, not cited in a cell</t>
        </is>
      </c>
    </row>
    <row r="174">
      <c r="B174" s="6" t="inlineStr">
        <is>
          <t>S169</t>
        </is>
      </c>
      <c r="C174" s="6" t="inlineStr">
        <is>
          <t>FERC's Order 841 'essential' for energy storage to cut emissions, attorneys general argue | Utility Dive</t>
        </is>
      </c>
      <c r="D174" s="6" t="inlineStr">
        <is>
          <t>https://www.utilitydive.com/news/fercs-order-841-essential-for-energy-storage-to-cut-emissions-attorneys/572050/</t>
        </is>
      </c>
      <c r="E174" s="6" t="inlineStr">
        <is>
          <t>2026-09-28</t>
        </is>
      </c>
      <c r="F174" s="6" t="inlineStr">
        <is>
          <t>February 11, 2020</t>
        </is>
      </c>
      <c r="G174" s="6" t="inlineStr">
        <is>
          <t>searched, not cited in a cell</t>
        </is>
      </c>
    </row>
    <row r="175">
      <c r="B175" s="7" t="inlineStr">
        <is>
          <t>S170</t>
        </is>
      </c>
      <c r="C175" s="7" t="inlineStr">
        <is>
          <t>FERC Order No. 2222: Fact Sheet | Federal Energy Regulatory Commission</t>
        </is>
      </c>
      <c r="D175" s="7" t="inlineStr">
        <is>
          <t>https://www.ferc.gov/media/ferc-order-no-2222-fact-sheet</t>
        </is>
      </c>
      <c r="E175" s="7" t="inlineStr">
        <is>
          <t>2026-09-28</t>
        </is>
      </c>
      <c r="F175" s="7" t="inlineStr">
        <is>
          <t>September 28, 2020</t>
        </is>
      </c>
      <c r="G175" s="7" t="inlineStr">
        <is>
          <t>searched, not cited in a cell</t>
        </is>
      </c>
    </row>
    <row r="176">
      <c r="B176" s="6" t="inlineStr">
        <is>
          <t>S171</t>
        </is>
      </c>
      <c r="C176" s="6" t="inlineStr">
        <is>
          <t>Order No. 841 | Federal Energy Regulatory Commission</t>
        </is>
      </c>
      <c r="D176" s="6" t="inlineStr">
        <is>
          <t>https://www.ferc.gov/media/order-no-841</t>
        </is>
      </c>
      <c r="E176" s="6" t="inlineStr">
        <is>
          <t>2026-09-28</t>
        </is>
      </c>
      <c r="F176" s="6" t="inlineStr"/>
      <c r="G176" s="6" t="inlineStr">
        <is>
          <t>searched, not cited in a cell</t>
        </is>
      </c>
    </row>
    <row r="177">
      <c r="B177" s="7" t="inlineStr">
        <is>
          <t>S172</t>
        </is>
      </c>
      <c r="C177" s="7" t="inlineStr">
        <is>
          <t>The Long Road to FERC Orders 841/2222 Implementation and the Not-So-Curious case of MISO — Blueprint Power</t>
        </is>
      </c>
      <c r="D177" s="7" t="inlineStr">
        <is>
          <t>https://www.blueprintpower.com/blog/the-long-road-to-ferc-orders-8412222-implementation-and-the-not-so-curious-case-of-miso</t>
        </is>
      </c>
      <c r="E177" s="7" t="inlineStr">
        <is>
          <t>2026-09-28</t>
        </is>
      </c>
      <c r="F177" s="7" t="inlineStr">
        <is>
          <t>June 11, 2021</t>
        </is>
      </c>
      <c r="G177" s="7" t="inlineStr">
        <is>
          <t>searched, not cited in a cell</t>
        </is>
      </c>
    </row>
    <row r="178">
      <c r="B178" s="6" t="inlineStr">
        <is>
          <t>S173</t>
        </is>
      </c>
      <c r="C178" s="6" t="inlineStr">
        <is>
          <t>US distributed energy tech platform companies AutoGrid, Leap, raise US$117m funding - Energy-Storage.News</t>
        </is>
      </c>
      <c r="D178" s="6" t="inlineStr">
        <is>
          <t>https://www.energy-storage.news/us-distributed-energy-tech-platform-companies-autogrid-leap-raise-us117m-funding/</t>
        </is>
      </c>
      <c r="E178" s="6" t="inlineStr">
        <is>
          <t>2026-09-28</t>
        </is>
      </c>
      <c r="F178" s="6" t="inlineStr">
        <is>
          <t>March 15, 2023</t>
        </is>
      </c>
      <c r="G178" s="6" t="inlineStr">
        <is>
          <t>'Risks'!B17</t>
        </is>
      </c>
    </row>
    <row r="179">
      <c r="B179" s="7" t="inlineStr">
        <is>
          <t>S174</t>
        </is>
      </c>
      <c r="C179" s="7" t="inlineStr">
        <is>
          <t>Oil giant Total joins venture funding for DER software company AutoGrid | Utility Dive</t>
        </is>
      </c>
      <c r="D179" s="7" t="inlineStr">
        <is>
          <t>https://www.utilitydive.com/news/oil-giant-total-joins-venture-funding-for-der-software-company-autogrid/426485/</t>
        </is>
      </c>
      <c r="E179" s="7" t="inlineStr">
        <is>
          <t>2026-09-28</t>
        </is>
      </c>
      <c r="F179" s="7" t="inlineStr">
        <is>
          <t>September 19, 2016</t>
        </is>
      </c>
      <c r="G179" s="7" t="inlineStr">
        <is>
          <t>searched, not cited in a cell</t>
        </is>
      </c>
    </row>
    <row r="180">
      <c r="B180" s="6" t="inlineStr">
        <is>
          <t>S175</t>
        </is>
      </c>
      <c r="C180" s="6" t="inlineStr">
        <is>
          <t>Gridmatic Unveils $50 Million Dollar Energy Storage Fund, Unlocking New Investment Opportunities in the Energy Sector</t>
        </is>
      </c>
      <c r="D180" s="6" t="inlineStr">
        <is>
          <t>https://www.businesswire.com/news/home/20230808150528/en/Gridmatic-Unveils-$50-Million-Dollar-Energy-Storage-Fund-Unlocking-New-Investment-Opportunities-in-the-Energy-Sector</t>
        </is>
      </c>
      <c r="E180" s="6" t="inlineStr">
        <is>
          <t>2026-09-28</t>
        </is>
      </c>
      <c r="F180" s="6" t="inlineStr">
        <is>
          <t>August 8, 2023</t>
        </is>
      </c>
      <c r="G180" s="6" t="inlineStr">
        <is>
          <t>searched, not cited in a cell</t>
        </is>
      </c>
    </row>
    <row r="181">
      <c r="B181" s="7" t="inlineStr">
        <is>
          <t>S176</t>
        </is>
      </c>
      <c r="C181" s="7" t="inlineStr">
        <is>
          <t>Autogrid - 2026 Company Profile, Funding, Competitors &amp; Financials - Tracxn</t>
        </is>
      </c>
      <c r="D181" s="7" t="inlineStr">
        <is>
          <t>https://tracxn.com/d/companies/autogrid/__XZl_p5p5pF3Vvslzzifw0DvwV2OZXDTF40vKlSjAzto</t>
        </is>
      </c>
      <c r="E181" s="7" t="inlineStr">
        <is>
          <t>2026-09-28</t>
        </is>
      </c>
      <c r="F181" s="7" t="inlineStr">
        <is>
          <t>May 15, 2026</t>
        </is>
      </c>
      <c r="G181" s="7" t="inlineStr">
        <is>
          <t>searched, not cited in a cell</t>
        </is>
      </c>
    </row>
    <row r="182">
      <c r="B182" s="6" t="inlineStr">
        <is>
          <t>S177</t>
        </is>
      </c>
      <c r="C182" s="6" t="inlineStr">
        <is>
          <t>Stem - Crunchbase Company Profile &amp; Funding</t>
        </is>
      </c>
      <c r="D182" s="6" t="inlineStr">
        <is>
          <t>https://www.crunchbase.com/organization/stem</t>
        </is>
      </c>
      <c r="E182" s="6" t="inlineStr">
        <is>
          <t>2026-09-28</t>
        </is>
      </c>
      <c r="F182" s="6" t="inlineStr"/>
      <c r="G182" s="6" t="inlineStr">
        <is>
          <t>searched, not cited in a cell</t>
        </is>
      </c>
    </row>
    <row r="183">
      <c r="B183" s="7" t="inlineStr">
        <is>
          <t>E1</t>
        </is>
      </c>
      <c r="C183" s="7" t="inlineStr">
        <is>
          <t>ERW list_tables</t>
        </is>
      </c>
      <c r="D183" s="7" t="inlineStr">
        <is>
          <t>https://github.com/SamuelEnrique/erw (list_tables)</t>
        </is>
      </c>
      <c r="E183" s="7" t="inlineStr">
        <is>
          <t>2026-09-28</t>
        </is>
      </c>
      <c r="F183" s="7" t="inlineStr"/>
      <c r="G183" s="7" t="inlineStr">
        <is>
          <t>queried, not cited in a cell</t>
        </is>
      </c>
    </row>
    <row r="184">
      <c r="B184" s="6" t="inlineStr">
        <is>
          <t>E2</t>
        </is>
      </c>
      <c r="C184" s="6" t="inlineStr">
        <is>
          <t>ERW list_tables</t>
        </is>
      </c>
      <c r="D184" s="6" t="inlineStr">
        <is>
          <t>https://github.com/SamuelEnrique/erw (list_tables)</t>
        </is>
      </c>
      <c r="E184" s="6" t="inlineStr">
        <is>
          <t>2026-09-28</t>
        </is>
      </c>
      <c r="F184" s="6" t="inlineStr"/>
      <c r="G184" s="6" t="inlineStr">
        <is>
          <t>queried, not cited in a cell</t>
        </is>
      </c>
    </row>
    <row r="185">
      <c r="B185" s="7" t="inlineStr">
        <is>
          <t>E3</t>
        </is>
      </c>
      <c r="C185" s="7" t="inlineStr">
        <is>
          <t>ERW list_tables</t>
        </is>
      </c>
      <c r="D185" s="7" t="inlineStr">
        <is>
          <t>https://github.com/SamuelEnrique/erw (list_tables)</t>
        </is>
      </c>
      <c r="E185" s="7" t="inlineStr">
        <is>
          <t>2026-09-28</t>
        </is>
      </c>
      <c r="F185" s="7" t="inlineStr"/>
      <c r="G185" s="7" t="inlineStr">
        <is>
          <t>queried, not cited in a cell</t>
        </is>
      </c>
    </row>
    <row r="186">
      <c r="B186" s="6" t="inlineStr">
        <is>
          <t>E4</t>
        </is>
      </c>
      <c r="C186" s="6" t="inlineStr">
        <is>
          <t>ERW describe_table caiso_battery_storage</t>
        </is>
      </c>
      <c r="D186" s="6" t="inlineStr">
        <is>
          <t>https://github.com/SamuelEnrique/erw (caiso_battery_storage)</t>
        </is>
      </c>
      <c r="E186" s="6" t="inlineStr">
        <is>
          <t>2026-09-28</t>
        </is>
      </c>
      <c r="F186" s="6" t="inlineStr"/>
      <c r="G186" s="6" t="inlineStr">
        <is>
          <t>queried, not cited in a cell</t>
        </is>
      </c>
    </row>
    <row r="187">
      <c r="B187" s="7" t="inlineStr">
        <is>
          <t>E5</t>
        </is>
      </c>
      <c r="C187" s="7" t="inlineStr">
        <is>
          <t>ERW describe_table eia860m_operating_generators</t>
        </is>
      </c>
      <c r="D187" s="7" t="inlineStr">
        <is>
          <t>https://github.com/SamuelEnrique/erw (eia860m_operating_generators)</t>
        </is>
      </c>
      <c r="E187" s="7" t="inlineStr">
        <is>
          <t>2026-09-28</t>
        </is>
      </c>
      <c r="F187" s="7" t="inlineStr"/>
      <c r="G187" s="7" t="inlineStr">
        <is>
          <t>queried, not cited in a cell</t>
        </is>
      </c>
    </row>
    <row r="188">
      <c r="B188" s="6" t="inlineStr">
        <is>
          <t>E6</t>
        </is>
      </c>
      <c r="C188" s="6" t="inlineStr">
        <is>
          <t>ERW describe_table caiso_interconnection_queue</t>
        </is>
      </c>
      <c r="D188" s="6" t="inlineStr">
        <is>
          <t>https://github.com/SamuelEnrique/erw (caiso_interconnection_queue)</t>
        </is>
      </c>
      <c r="E188" s="6" t="inlineStr">
        <is>
          <t>2026-09-28</t>
        </is>
      </c>
      <c r="F188" s="6" t="inlineStr"/>
      <c r="G188" s="6" t="inlineStr">
        <is>
          <t>'Fundamentals'!B17:F17; 'Fundamentals'!B18:F18; 'Fundamentals'!B27; 'Risks'!B32</t>
        </is>
      </c>
    </row>
    <row r="189">
      <c r="B189" s="7" t="inlineStr">
        <is>
          <t>E7</t>
        </is>
      </c>
      <c r="C189" s="7" t="inlineStr">
        <is>
          <t>ERW query eia860m_operating_generators</t>
        </is>
      </c>
      <c r="D189" s="7" t="inlineStr">
        <is>
          <t>https://github.com/SamuelEnrique/erw (eia860m_operating_generators)</t>
        </is>
      </c>
      <c r="E189" s="7" t="inlineStr">
        <is>
          <t>2026-09-28</t>
        </is>
      </c>
      <c r="F189" s="7" t="inlineStr"/>
      <c r="G189" s="7" t="inlineStr">
        <is>
          <t>'Fundamentals'!B7:F7; 'Fundamentals'!B12:F12; 'Fundamentals'!B27; 'Trends'!B7:D7; 'Trends'!B8:D8; 'Trends'!B24; 'Trends'!B129:C129; 'Trends'!B130:C130; 'Trends'!B131:C131; 'Trends'!B132:C132; 'Trends'!B133</t>
        </is>
      </c>
    </row>
    <row r="190">
      <c r="B190" s="6" t="inlineStr">
        <is>
          <t>E8</t>
        </is>
      </c>
      <c r="C190" s="6" t="inlineStr">
        <is>
          <t>ERW query eia860m_operating_generators</t>
        </is>
      </c>
      <c r="D190" s="6" t="inlineStr">
        <is>
          <t>https://github.com/SamuelEnrique/erw (eia860m_operating_generators)</t>
        </is>
      </c>
      <c r="E190" s="6" t="inlineStr">
        <is>
          <t>2026-09-28</t>
        </is>
      </c>
      <c r="F190" s="6" t="inlineStr"/>
      <c r="G190" s="6" t="inlineStr">
        <is>
          <t>'Fundamentals'!B8:F8; 'Fundamentals'!B27</t>
        </is>
      </c>
    </row>
    <row r="191">
      <c r="B191" s="7" t="inlineStr">
        <is>
          <t>E9</t>
        </is>
      </c>
      <c r="C191" s="7" t="inlineStr">
        <is>
          <t>ERW query eia860m_operating_generators</t>
        </is>
      </c>
      <c r="D191" s="7" t="inlineStr">
        <is>
          <t>https://github.com/SamuelEnrique/erw (eia860m_operating_generators)</t>
        </is>
      </c>
      <c r="E191" s="7" t="inlineStr">
        <is>
          <t>2026-09-28</t>
        </is>
      </c>
      <c r="F191" s="7" t="inlineStr"/>
      <c r="G191" s="7" t="inlineStr">
        <is>
          <t>'Fundamentals'!B9:F9; 'Fundamentals'!B10:F10; 'Fundamentals'!B27; 'Trends'!B29:D29; 'Trends'!B30:D30; 'Trends'!B46</t>
        </is>
      </c>
    </row>
    <row r="192">
      <c r="B192" s="6" t="inlineStr">
        <is>
          <t>E10</t>
        </is>
      </c>
      <c r="C192" s="6" t="inlineStr">
        <is>
          <t>ERW describe_table eia860m_planned_generators</t>
        </is>
      </c>
      <c r="D192" s="6" t="inlineStr">
        <is>
          <t>https://github.com/SamuelEnrique/erw (eia860m_planned_generators)</t>
        </is>
      </c>
      <c r="E192" s="6" t="inlineStr">
        <is>
          <t>2026-09-28</t>
        </is>
      </c>
      <c r="F192" s="6" t="inlineStr"/>
      <c r="G192" s="6" t="inlineStr">
        <is>
          <t>queried, not cited in a cell</t>
        </is>
      </c>
    </row>
    <row r="193">
      <c r="B193" s="7" t="inlineStr">
        <is>
          <t>E11</t>
        </is>
      </c>
      <c r="C193" s="7" t="inlineStr">
        <is>
          <t>ERW describe_table energy_deals</t>
        </is>
      </c>
      <c r="D193" s="7" t="inlineStr">
        <is>
          <t>https://github.com/SamuelEnrique/erw (energy_deals)</t>
        </is>
      </c>
      <c r="E193" s="7" t="inlineStr">
        <is>
          <t>2026-09-28</t>
        </is>
      </c>
      <c r="F193" s="7" t="inlineStr"/>
      <c r="G193" s="7" t="inlineStr">
        <is>
          <t>queried, not cited in a cell</t>
        </is>
      </c>
    </row>
    <row r="194">
      <c r="B194" s="6" t="inlineStr">
        <is>
          <t>E12</t>
        </is>
      </c>
      <c r="C194" s="6" t="inlineStr">
        <is>
          <t>ERW query eia860m_planned_generators</t>
        </is>
      </c>
      <c r="D194" s="6" t="inlineStr">
        <is>
          <t>https://github.com/SamuelEnrique/erw (eia860m_planned_generators)</t>
        </is>
      </c>
      <c r="E194" s="6" t="inlineStr">
        <is>
          <t>2026-09-28</t>
        </is>
      </c>
      <c r="F194" s="6" t="inlineStr"/>
      <c r="G194" s="6" t="inlineStr">
        <is>
          <t>'Fundamentals'!B11:F11; 'Fundamentals'!B12:F12; 'Fundamentals'!B27; 'Trends'!B7:D7; 'Trends'!B8:D8; 'Trends'!B24</t>
        </is>
      </c>
    </row>
    <row r="195">
      <c r="B195" s="7" t="inlineStr">
        <is>
          <t>E13</t>
        </is>
      </c>
      <c r="C195" s="7" t="inlineStr">
        <is>
          <t>ERW query energy_deals</t>
        </is>
      </c>
      <c r="D195" s="7" t="inlineStr">
        <is>
          <t>https://github.com/SamuelEnrique/erw (energy_deals)</t>
        </is>
      </c>
      <c r="E195" s="7" t="inlineStr">
        <is>
          <t>2026-09-28</t>
        </is>
      </c>
      <c r="F195" s="7" t="inlineStr"/>
      <c r="G195" s="7" t="inlineStr">
        <is>
          <t>queried, not cited in a cell</t>
        </is>
      </c>
    </row>
    <row r="196">
      <c r="B196" s="6" t="inlineStr">
        <is>
          <t>E14</t>
        </is>
      </c>
      <c r="C196" s="6" t="inlineStr">
        <is>
          <t>ERW describe_table caiso_curtailment_daily</t>
        </is>
      </c>
      <c r="D196" s="6" t="inlineStr">
        <is>
          <t>https://github.com/SamuelEnrique/erw (caiso_curtailment_daily)</t>
        </is>
      </c>
      <c r="E196" s="6" t="inlineStr">
        <is>
          <t>2026-09-28</t>
        </is>
      </c>
      <c r="F196" s="6" t="inlineStr"/>
      <c r="G196" s="6" t="inlineStr">
        <is>
          <t>queried, not cited in a cell</t>
        </is>
      </c>
    </row>
    <row r="197">
      <c r="B197" s="7" t="inlineStr">
        <is>
          <t>E15</t>
        </is>
      </c>
      <c r="C197" s="7" t="inlineStr">
        <is>
          <t>ERW query caiso_battery_storage</t>
        </is>
      </c>
      <c r="D197" s="7" t="inlineStr">
        <is>
          <t>https://github.com/SamuelEnrique/erw (caiso_battery_storage)</t>
        </is>
      </c>
      <c r="E197" s="7" t="inlineStr">
        <is>
          <t>2026-09-28</t>
        </is>
      </c>
      <c r="F197" s="7" t="inlineStr"/>
      <c r="G197" s="7" t="inlineStr">
        <is>
          <t>'Fundamentals'!B13:F13; 'Fundamentals'!B27</t>
        </is>
      </c>
    </row>
    <row r="198">
      <c r="B198" s="6" t="inlineStr">
        <is>
          <t>E16</t>
        </is>
      </c>
      <c r="C198" s="6" t="inlineStr">
        <is>
          <t>ERW query caiso_battery_storage</t>
        </is>
      </c>
      <c r="D198" s="6" t="inlineStr">
        <is>
          <t>https://github.com/SamuelEnrique/erw (caiso_battery_storage)</t>
        </is>
      </c>
      <c r="E198" s="6" t="inlineStr">
        <is>
          <t>2026-09-28</t>
        </is>
      </c>
      <c r="F198" s="6" t="inlineStr"/>
      <c r="G198" s="6" t="inlineStr">
        <is>
          <t>queried, not cited in a cell</t>
        </is>
      </c>
    </row>
    <row r="199">
      <c r="B199" s="7" t="inlineStr">
        <is>
          <t>E17</t>
        </is>
      </c>
      <c r="C199" s="7" t="inlineStr">
        <is>
          <t>ERW query caiso_curtailment_daily</t>
        </is>
      </c>
      <c r="D199" s="7" t="inlineStr">
        <is>
          <t>https://github.com/SamuelEnrique/erw (caiso_curtailment_daily)</t>
        </is>
      </c>
      <c r="E199" s="7" t="inlineStr">
        <is>
          <t>2026-09-28</t>
        </is>
      </c>
      <c r="F199" s="7" t="inlineStr"/>
      <c r="G199" s="7" t="inlineStr">
        <is>
          <t>'Fundamentals'!B16:F16; 'Fundamentals'!B27; 'Trends'!B98:C98; 'Trends'!B124</t>
        </is>
      </c>
    </row>
    <row r="200">
      <c r="B200" s="6" t="inlineStr">
        <is>
          <t>E18</t>
        </is>
      </c>
      <c r="C200" s="6" t="inlineStr">
        <is>
          <t>ERW query caiso_dam_hub_prices</t>
        </is>
      </c>
      <c r="D200" s="6" t="inlineStr">
        <is>
          <t>https://github.com/SamuelEnrique/erw (caiso_dam_hub_prices)</t>
        </is>
      </c>
      <c r="E200" s="6" t="inlineStr">
        <is>
          <t>2026-09-28</t>
        </is>
      </c>
      <c r="F200" s="6" t="inlineStr"/>
      <c r="G200" s="6" t="inlineStr">
        <is>
          <t>'Scope'!B14:C14; 'Scope'!B16; 'Fundamentals'!B14:F14; 'Fundamentals'!B27; 'Trends'!B51:D51; 'Trends'!B52:D52; 'Trends'!B93</t>
        </is>
      </c>
    </row>
    <row r="201">
      <c r="B201" s="7" t="inlineStr">
        <is>
          <t>E19</t>
        </is>
      </c>
      <c r="C201" s="7" t="inlineStr">
        <is>
          <t>ERW query caiso_dam_hub_prices</t>
        </is>
      </c>
      <c r="D201" s="7" t="inlineStr">
        <is>
          <t>https://github.com/SamuelEnrique/erw (caiso_dam_hub_prices)</t>
        </is>
      </c>
      <c r="E201" s="7" t="inlineStr">
        <is>
          <t>2026-09-28</t>
        </is>
      </c>
      <c r="F201" s="7" t="inlineStr"/>
      <c r="G201" s="7" t="inlineStr">
        <is>
          <t>'Scope'!B14:C14; 'Scope'!B16; 'Fundamentals'!B15:F15; 'Fundamentals'!B27; 'Trends'!B51:D51; 'Trends'!B52:D52; 'Trends'!B93</t>
        </is>
      </c>
    </row>
    <row r="202">
      <c r="B202" s="6" t="inlineStr">
        <is>
          <t>E20</t>
        </is>
      </c>
      <c r="C202" s="6" t="inlineStr">
        <is>
          <t>ERW list_tables</t>
        </is>
      </c>
      <c r="D202" s="6" t="inlineStr">
        <is>
          <t>https://github.com/SamuelEnrique/erw (list_tables)</t>
        </is>
      </c>
      <c r="E202" s="6" t="inlineStr">
        <is>
          <t>2026-09-28</t>
        </is>
      </c>
      <c r="F202" s="6" t="inlineStr"/>
      <c r="G202" s="6" t="inlineStr">
        <is>
          <t>queried, not cited in a cell</t>
        </is>
      </c>
    </row>
    <row r="203">
      <c r="B203" s="7" t="inlineStr">
        <is>
          <t>E21</t>
        </is>
      </c>
      <c r="C203" s="7" t="inlineStr">
        <is>
          <t>ERW list_tables</t>
        </is>
      </c>
      <c r="D203" s="7" t="inlineStr">
        <is>
          <t>https://github.com/SamuelEnrique/erw (list_tables)</t>
        </is>
      </c>
      <c r="E203" s="7" t="inlineStr">
        <is>
          <t>2026-09-28</t>
        </is>
      </c>
      <c r="F203" s="7" t="inlineStr"/>
      <c r="G203" s="7" t="inlineStr">
        <is>
          <t>queried, not cited in a cell</t>
        </is>
      </c>
    </row>
    <row r="204">
      <c r="B204" s="6" t="inlineStr">
        <is>
          <t>E22</t>
        </is>
      </c>
      <c r="C204" s="6" t="inlineStr">
        <is>
          <t>ERW list_tables</t>
        </is>
      </c>
      <c r="D204" s="6" t="inlineStr">
        <is>
          <t>https://github.com/SamuelEnrique/erw (list_tables)</t>
        </is>
      </c>
      <c r="E204" s="6" t="inlineStr">
        <is>
          <t>2026-09-28</t>
        </is>
      </c>
      <c r="F204" s="6" t="inlineStr"/>
      <c r="G204" s="6" t="inlineStr">
        <is>
          <t>queried, not cited in a cell</t>
        </is>
      </c>
    </row>
    <row r="205">
      <c r="B205" s="7" t="inlineStr">
        <is>
          <t>E23</t>
        </is>
      </c>
      <c r="C205" s="7" t="inlineStr">
        <is>
          <t>ERW describe_table energy_deals</t>
        </is>
      </c>
      <c r="D205" s="7" t="inlineStr">
        <is>
          <t>https://github.com/SamuelEnrique/erw (energy_deals)</t>
        </is>
      </c>
      <c r="E205" s="7" t="inlineStr">
        <is>
          <t>2026-09-28</t>
        </is>
      </c>
      <c r="F205" s="7" t="inlineStr"/>
      <c r="G205" s="7" t="inlineStr">
        <is>
          <t>queried, not cited in a cell</t>
        </is>
      </c>
    </row>
    <row r="206">
      <c r="B206" s="6" t="inlineStr">
        <is>
          <t>E24</t>
        </is>
      </c>
      <c r="C206" s="6" t="inlineStr">
        <is>
          <t>ERW query energy_deals</t>
        </is>
      </c>
      <c r="D206" s="6" t="inlineStr">
        <is>
          <t>https://github.com/SamuelEnrique/erw (energy_deals)</t>
        </is>
      </c>
      <c r="E206" s="6" t="inlineStr">
        <is>
          <t>2026-09-28</t>
        </is>
      </c>
      <c r="F206" s="6" t="inlineStr"/>
      <c r="G206" s="6" t="inlineStr">
        <is>
          <t>queried, not cited in a cell</t>
        </is>
      </c>
    </row>
    <row r="207">
      <c r="B207" s="7" t="inlineStr">
        <is>
          <t>E25</t>
        </is>
      </c>
      <c r="C207" s="7" t="inlineStr">
        <is>
          <t>ERW query energy_deals</t>
        </is>
      </c>
      <c r="D207" s="7" t="inlineStr">
        <is>
          <t>https://github.com/SamuelEnrique/erw (energy_deals)</t>
        </is>
      </c>
      <c r="E207" s="7" t="inlineStr">
        <is>
          <t>2026-09-28</t>
        </is>
      </c>
      <c r="F207" s="7" t="inlineStr"/>
      <c r="G207" s="7" t="inlineStr">
        <is>
          <t>queried, not cited in a cell</t>
        </is>
      </c>
    </row>
    <row r="208">
      <c r="B208" s="6" t="inlineStr">
        <is>
          <t>E26</t>
        </is>
      </c>
      <c r="C208" s="6" t="inlineStr">
        <is>
          <t>ERW query energy_deals</t>
        </is>
      </c>
      <c r="D208" s="6" t="inlineStr">
        <is>
          <t>https://github.com/SamuelEnrique/erw (energy_deals)</t>
        </is>
      </c>
      <c r="E208" s="6" t="inlineStr">
        <is>
          <t>2026-09-28</t>
        </is>
      </c>
      <c r="F208" s="6" t="inlineStr"/>
      <c r="G208" s="6" t="inlineStr">
        <is>
          <t>queried, not cited in a cell</t>
        </is>
      </c>
    </row>
    <row r="209">
      <c r="B209" s="7" t="inlineStr">
        <is>
          <t>E27</t>
        </is>
      </c>
      <c r="C209" s="7" t="inlineStr">
        <is>
          <t>ERW query energy_deals</t>
        </is>
      </c>
      <c r="D209" s="7" t="inlineStr">
        <is>
          <t>https://github.com/SamuelEnrique/erw (energy_deals)</t>
        </is>
      </c>
      <c r="E209" s="7" t="inlineStr">
        <is>
          <t>2026-09-28</t>
        </is>
      </c>
      <c r="F209" s="7" t="inlineStr"/>
      <c r="G209" s="7" t="inlineStr">
        <is>
          <t>queried, not cited in a cell</t>
        </is>
      </c>
    </row>
    <row r="210">
      <c r="B210" s="6" t="inlineStr">
        <is>
          <t>E28</t>
        </is>
      </c>
      <c r="C210" s="6" t="inlineStr">
        <is>
          <t>ERW query energy_deals</t>
        </is>
      </c>
      <c r="D210" s="6" t="inlineStr">
        <is>
          <t>https://github.com/SamuelEnrique/erw (energy_deals)</t>
        </is>
      </c>
      <c r="E210" s="6" t="inlineStr">
        <is>
          <t>2026-09-28</t>
        </is>
      </c>
      <c r="F210" s="6" t="inlineStr"/>
      <c r="G210" s="6" t="inlineStr">
        <is>
          <t>queried, not cited in a cell</t>
        </is>
      </c>
    </row>
    <row r="211">
      <c r="B211" s="7" t="inlineStr">
        <is>
          <t>E29</t>
        </is>
      </c>
      <c r="C211" s="7" t="inlineStr">
        <is>
          <t>ERW query energy_deals</t>
        </is>
      </c>
      <c r="D211" s="7" t="inlineStr">
        <is>
          <t>https://github.com/SamuelEnrique/erw (energy_deals)</t>
        </is>
      </c>
      <c r="E211" s="7" t="inlineStr">
        <is>
          <t>2026-09-28</t>
        </is>
      </c>
      <c r="F211" s="7" t="inlineStr"/>
      <c r="G211" s="7" t="inlineStr">
        <is>
          <t>queried, not cited in a cell</t>
        </is>
      </c>
    </row>
    <row r="212">
      <c r="B212" s="6" t="inlineStr">
        <is>
          <t>E30</t>
        </is>
      </c>
      <c r="C212" s="6" t="inlineStr">
        <is>
          <t>ERW list_tables</t>
        </is>
      </c>
      <c r="D212" s="6" t="inlineStr">
        <is>
          <t>https://github.com/SamuelEnrique/erw (list_tables)</t>
        </is>
      </c>
      <c r="E212" s="6" t="inlineStr">
        <is>
          <t>2026-09-28</t>
        </is>
      </c>
      <c r="F212" s="6" t="inlineStr"/>
      <c r="G212" s="6" t="inlineStr">
        <is>
          <t>queried, not cited in a cell</t>
        </is>
      </c>
    </row>
    <row r="213">
      <c r="B213" s="7" t="inlineStr">
        <is>
          <t>E31</t>
        </is>
      </c>
      <c r="C213" s="7" t="inlineStr">
        <is>
          <t>ERW list_tables</t>
        </is>
      </c>
      <c r="D213" s="7" t="inlineStr">
        <is>
          <t>https://github.com/SamuelEnrique/erw (list_tables)</t>
        </is>
      </c>
      <c r="E213" s="7" t="inlineStr">
        <is>
          <t>2026-09-28</t>
        </is>
      </c>
      <c r="F213" s="7" t="inlineStr"/>
      <c r="G213" s="7" t="inlineStr">
        <is>
          <t>queried, not cited in a cell</t>
        </is>
      </c>
    </row>
    <row r="214">
      <c r="B214" s="6" t="inlineStr">
        <is>
          <t>E32</t>
        </is>
      </c>
      <c r="C214" s="6" t="inlineStr">
        <is>
          <t>ERW describe_table eia860m_operating_generators</t>
        </is>
      </c>
      <c r="D214" s="6" t="inlineStr">
        <is>
          <t>https://github.com/SamuelEnrique/erw (eia860m_operating_generators)</t>
        </is>
      </c>
      <c r="E214" s="6" t="inlineStr">
        <is>
          <t>2026-09-28</t>
        </is>
      </c>
      <c r="F214" s="6" t="inlineStr"/>
      <c r="G214" s="6" t="inlineStr">
        <is>
          <t>queried, not cited in a cell</t>
        </is>
      </c>
    </row>
    <row r="215">
      <c r="B215" s="7" t="inlineStr">
        <is>
          <t>E33</t>
        </is>
      </c>
      <c r="C215" s="7" t="inlineStr">
        <is>
          <t>ERW describe_table caiso_battery_storage</t>
        </is>
      </c>
      <c r="D215" s="7" t="inlineStr">
        <is>
          <t>https://github.com/SamuelEnrique/erw (caiso_battery_storage)</t>
        </is>
      </c>
      <c r="E215" s="7" t="inlineStr">
        <is>
          <t>2026-09-28</t>
        </is>
      </c>
      <c r="F215" s="7" t="inlineStr"/>
      <c r="G215" s="7" t="inlineStr">
        <is>
          <t>queried, not cited in a cell</t>
        </is>
      </c>
    </row>
    <row r="216">
      <c r="B216" s="6" t="inlineStr">
        <is>
          <t>E34</t>
        </is>
      </c>
      <c r="C216" s="6" t="inlineStr">
        <is>
          <t>ERW query eia860m_operating_generators</t>
        </is>
      </c>
      <c r="D216" s="6" t="inlineStr">
        <is>
          <t>https://github.com/SamuelEnrique/erw (eia860m_operating_generators)</t>
        </is>
      </c>
      <c r="E216" s="6" t="inlineStr">
        <is>
          <t>2026-09-28</t>
        </is>
      </c>
      <c r="F216" s="6" t="inlineStr"/>
      <c r="G216" s="6" t="inlineStr">
        <is>
          <t>queried, not cited in a cell</t>
        </is>
      </c>
    </row>
    <row r="217">
      <c r="B217" s="7" t="inlineStr">
        <is>
          <t>E35</t>
        </is>
      </c>
      <c r="C217" s="7" t="inlineStr">
        <is>
          <t>ERW query eia860m_operating_generators</t>
        </is>
      </c>
      <c r="D217" s="7" t="inlineStr">
        <is>
          <t>https://github.com/SamuelEnrique/erw (eia860m_operating_generators)</t>
        </is>
      </c>
      <c r="E217" s="7" t="inlineStr">
        <is>
          <t>2026-09-28</t>
        </is>
      </c>
      <c r="F217" s="7" t="inlineStr"/>
      <c r="G217" s="7" t="inlineStr">
        <is>
          <t>'Fundamentals'!B10:F10; 'Fundamentals'!B27; 'Trends'!B29:D29; 'Trends'!B30:D30; 'Trends'!B46</t>
        </is>
      </c>
    </row>
    <row r="218">
      <c r="B218" s="6" t="inlineStr">
        <is>
          <t>E36</t>
        </is>
      </c>
      <c r="C218" s="6" t="inlineStr">
        <is>
          <t>ERW query eia860m_operating_generators</t>
        </is>
      </c>
      <c r="D218" s="6" t="inlineStr">
        <is>
          <t>https://github.com/SamuelEnrique/erw (eia860m_operating_generators)</t>
        </is>
      </c>
      <c r="E218" s="6" t="inlineStr">
        <is>
          <t>2026-09-28</t>
        </is>
      </c>
      <c r="F218" s="6" t="inlineStr"/>
      <c r="G218" s="6" t="inlineStr">
        <is>
          <t>'Fundamentals'!B9:F9; 'Fundamentals'!B27; 'Trends'!B29:D29; 'Trends'!B30:D30; 'Trends'!B46</t>
        </is>
      </c>
    </row>
    <row r="219">
      <c r="B219" s="7" t="inlineStr">
        <is>
          <t>E37</t>
        </is>
      </c>
      <c r="C219" s="7" t="inlineStr">
        <is>
          <t>ERW query caiso_battery_storage</t>
        </is>
      </c>
      <c r="D219" s="7" t="inlineStr">
        <is>
          <t>https://github.com/SamuelEnrique/erw (caiso_battery_storage)</t>
        </is>
      </c>
      <c r="E219" s="7" t="inlineStr">
        <is>
          <t>2026-09-28</t>
        </is>
      </c>
      <c r="F219" s="7" t="inlineStr"/>
      <c r="G219" s="7" t="inlineStr">
        <is>
          <t>'Fundamentals'!B13:F13; 'Fundamentals'!B27</t>
        </is>
      </c>
    </row>
  </sheetData>
  <mergeCells count="1">
    <mergeCell ref="B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2026-09-28T11:37:29Z</dcterms:created>
  <dcterms:modified xmlns:dcterms="http://purl.org/dc/terms/" xmlns:xsi="http://www.w3.org/2001/XMLSchema-instance" xsi:type="dcterms:W3CDTF">2026-09-28T11:38:35Z</dcterms:modified>
</cp:coreProperties>
</file>