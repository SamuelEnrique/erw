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ope" sheetId="1" state="visible" r:id="rId1"/>
    <sheet xmlns:r="http://schemas.openxmlformats.org/officeDocument/2006/relationships" name="Fundamentals" sheetId="2" state="visible" r:id="rId2"/>
    <sheet xmlns:r="http://schemas.openxmlformats.org/officeDocument/2006/relationships" name="Trends" sheetId="3" state="visible" r:id="rId3"/>
    <sheet xmlns:r="http://schemas.openxmlformats.org/officeDocument/2006/relationships" name="Landscape" sheetId="4" state="visible" r:id="rId4"/>
    <sheet xmlns:r="http://schemas.openxmlformats.org/officeDocument/2006/relationships" name="Capital" sheetId="5" state="visible" r:id="rId5"/>
    <sheet xmlns:r="http://schemas.openxmlformats.org/officeDocument/2006/relationships" name="Incumbents" sheetId="6" state="visible" r:id="rId6"/>
    <sheet xmlns:r="http://schemas.openxmlformats.org/officeDocument/2006/relationships" name="Policy" sheetId="7" state="visible" r:id="rId7"/>
    <sheet xmlns:r="http://schemas.openxmlformats.org/officeDocument/2006/relationships" name="Risks" sheetId="8" state="visible" r:id="rId8"/>
    <sheet xmlns:r="http://schemas.openxmlformats.org/officeDocument/2006/relationships" name="Sourc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Georgia"/>
      <b val="1"/>
      <color rgb="008C1515"/>
      <sz val="16"/>
    </font>
    <font>
      <name val="Georgia"/>
      <i val="1"/>
      <color rgb="002E2D29"/>
      <sz val="11"/>
    </font>
    <font>
      <name val="Georgia"/>
      <b val="1"/>
      <color rgb="00FFFFFF"/>
      <sz val="11"/>
    </font>
    <font>
      <name val="Calibri"/>
      <b val="1"/>
      <color rgb="00FFFFFF"/>
      <sz val="10"/>
    </font>
    <font>
      <name val="Calibri"/>
      <color rgb="002E2D29"/>
      <sz val="10"/>
    </font>
  </fonts>
  <fills count="4">
    <fill>
      <patternFill/>
    </fill>
    <fill>
      <patternFill patternType="gray125"/>
    </fill>
    <fill>
      <patternFill patternType="solid">
        <fgColor rgb="008C1515"/>
      </patternFill>
    </fill>
    <fill>
      <patternFill patternType="solid">
        <fgColor rgb="00F7F3EA"/>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xf>
    <xf numFmtId="0" fontId="0" fillId="0" borderId="0" applyAlignment="1" pivotButton="0" quotePrefix="0" xfId="0">
      <alignment vertical="top" wrapText="1"/>
    </xf>
    <xf numFmtId="0" fontId="4" fillId="2" borderId="0" applyAlignment="1" pivotButton="0" quotePrefix="0" xfId="0">
      <alignment vertical="center" wrapText="1"/>
    </xf>
    <xf numFmtId="0" fontId="5" fillId="0" borderId="0" applyAlignment="1" pivotButton="0" quotePrefix="0" xfId="0">
      <alignment vertical="top" wrapText="1"/>
    </xf>
    <xf numFmtId="0" fontId="5"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Operating battery nameplate MW by in-service year</a:t>
            </a:r>
          </a:p>
        </rich>
      </tx>
    </title>
    <plotArea>
      <barChart>
        <barDir val="col"/>
        <grouping val="clustered"/>
        <ser>
          <idx val="0"/>
          <order val="0"/>
          <tx>
            <strRef>
              <f>'Trends'!C6</f>
            </strRef>
          </tx>
          <spPr>
            <a:solidFill xmlns:a="http://schemas.openxmlformats.org/drawingml/2006/main">
              <a:srgbClr val="8C1515"/>
            </a:solidFill>
            <a:ln xmlns:a="http://schemas.openxmlformats.org/drawingml/2006/main">
              <a:solidFill>
                <a:srgbClr val="8C1515"/>
              </a:solidFill>
              <a:prstDash val="solid"/>
            </a:ln>
          </spPr>
          <cat>
            <numRef>
              <f>'Trends'!$B$7:$B$12</f>
            </numRef>
          </cat>
          <val>
            <numRef>
              <f>'Trends'!$C$7:$C$12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ERCOT HB_NORTH peak-minus-midday median (USD/MWh)</a:t>
            </a:r>
          </a:p>
        </rich>
      </tx>
    </title>
    <plotArea>
      <lineChart>
        <grouping val="standard"/>
        <ser>
          <idx val="0"/>
          <order val="0"/>
          <tx>
            <strRef>
              <f>'Trends'!C32</f>
            </strRef>
          </tx>
          <spPr>
            <a:solidFill xmlns:a="http://schemas.openxmlformats.org/drawingml/2006/main">
              <a:srgbClr val="8C1515"/>
            </a:solidFill>
            <a:ln xmlns:a="http://schemas.openxmlformats.org/drawingml/2006/main">
              <a:solidFill>
                <a:srgbClr val="8C1515"/>
              </a:solidFill>
              <a:prstDash val="solid"/>
            </a:ln>
          </spPr>
          <marker>
            <symbol val="none"/>
            <spPr>
              <a:ln xmlns:a="http://schemas.openxmlformats.org/drawingml/2006/main">
                <a:prstDash val="solid"/>
              </a:ln>
            </spPr>
          </marker>
          <cat>
            <numRef>
              <f>'Trends'!$B$33:$B$38</f>
            </numRef>
          </cat>
          <val>
            <numRef>
              <f>'Trends'!$C$33:$C$38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CAISO curtailed solar by year (MWh)</a:t>
            </a:r>
          </a:p>
        </rich>
      </tx>
    </title>
    <plotArea>
      <barChart>
        <barDir val="col"/>
        <grouping val="clustered"/>
        <ser>
          <idx val="0"/>
          <order val="0"/>
          <tx>
            <strRef>
              <f>'Trends'!C83</f>
            </strRef>
          </tx>
          <spPr>
            <a:solidFill xmlns:a="http://schemas.openxmlformats.org/drawingml/2006/main">
              <a:srgbClr val="8C1515"/>
            </a:solidFill>
            <a:ln xmlns:a="http://schemas.openxmlformats.org/drawingml/2006/main">
              <a:solidFill>
                <a:srgbClr val="8C1515"/>
              </a:solidFill>
              <a:prstDash val="solid"/>
            </a:ln>
          </spPr>
          <cat>
            <numRef>
              <f>'Trends'!$B$84:$B$88</f>
            </numRef>
          </cat>
          <val>
            <numRef>
              <f>'Trends'!$C$84:$C$88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image" Target="/xl/media/image1.png" Id="rId4"/><Relationship Type="http://schemas.openxmlformats.org/officeDocument/2006/relationships/image" Target="/xl/media/image2.png" Id="rId5"/></Relationships>
</file>

<file path=xl/drawings/drawing1.xml><?xml version="1.0" encoding="utf-8"?>
<wsDr xmlns="http://schemas.openxmlformats.org/drawingml/2006/spreadsheetDrawing">
  <oneCellAnchor>
    <from>
      <col>1</col>
      <colOff>0</colOff>
      <row>12</row>
      <rowOff>0</rowOff>
    </from>
    <ext cx="57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38</row>
      <rowOff>0</rowOff>
    </from>
    <ext cx="576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88</row>
      <rowOff>0</rowOff>
    </from>
    <ext cx="576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53</row>
      <rowOff>0</rowOff>
    </from>
    <ext cx="6858000" cy="42862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103</row>
      <rowOff>0</rowOff>
    </from>
    <ext cx="6858000" cy="42862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I26"/>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Scope</t>
        </is>
      </c>
    </row>
    <row r="2">
      <c r="B2" s="2" t="inlineStr">
        <is>
          <t>grid-scale battery storage software for merchant operators</t>
        </is>
      </c>
    </row>
    <row r="4" ht="20" customHeight="1">
      <c r="B4" s="3" t="inlineStr">
        <is>
          <t>(1) DEFINITION</t>
        </is>
      </c>
    </row>
    <row r="5" ht="75" customHeight="1">
      <c r="B5" s="4" t="inlineStr">
        <is>
          <r>
            <rPr>
              <rFont val="Calibri"/>
              <b val="1"/>
              <color rgb="002E2D29"/>
              <sz val="10"/>
            </rPr>
            <t xml:space="preserve">Fact: </t>
          </r>
          <r>
            <rPr>
              <rFont val="Calibri"/>
              <color rgb="002E2D29"/>
              <sz val="10"/>
            </rPr>
            <t>Software, and services sold on top of it, that decides when a grid-scale battery charges and discharges and which market it bids into. Buyers are merchant operators, meaning owners who earn wholesale market revenue instead of a fixed contract payment. Optimizers and operators handle real-time dispatch, multi-market bidding (energy, ancillary services, capacity), degradation management, forecasting and reporting. Some act as the market participant and others plug into the owner's existing setup. A software-only market size for the niche is not disclosed.</t>
          </r>
        </is>
      </c>
    </row>
    <row r="6" ht="30" customHeight="1">
      <c r="B6" s="4" t="inlineStr">
        <is>
          <r>
            <rPr>
              <rFont val="Calibri"/>
              <b val="1"/>
              <i val="1"/>
              <color rgb="00808080"/>
              <sz val="10"/>
            </rPr>
            <t xml:space="preserve">Source(s): </t>
          </r>
          <r>
            <rPr>
              <rFont val="Calibri"/>
              <i val="1"/>
              <color rgb="00808080"/>
              <sz val="10"/>
            </rPr>
            <t>S1 US battery energy storage operators and optimizers - and how; S34 Gridmatic launches US$50 million fund to manage BESS project; E10 ERW table energy_companies</t>
          </r>
        </is>
      </c>
    </row>
    <row r="8" ht="20" customHeight="1">
      <c r="B8" s="3" t="inlineStr">
        <is>
          <t>(2) VALUE CHAIN</t>
        </is>
      </c>
    </row>
    <row r="9">
      <c r="B9" s="5" t="inlineStr">
        <is>
          <t>Stage</t>
        </is>
      </c>
      <c r="C9" s="5" t="inlineStr">
        <is>
          <t>What happens</t>
        </is>
      </c>
    </row>
    <row r="10">
      <c r="B10" s="6" t="inlineStr">
        <is>
          <t>Inputs</t>
        </is>
      </c>
      <c r="C10" s="6" t="inlineStr">
        <is>
          <t>Wholesale price data (day-ahead, real-time, ancillary), forecasts and asset telemetry feed the bidding decision. The ERW warehouse holds hub prices for ERCOT and CAISO.</t>
        </is>
      </c>
    </row>
    <row r="11">
      <c r="B11" s="7" t="inlineStr">
        <is>
          <t>The asset</t>
        </is>
      </c>
      <c r="C11" s="7" t="inlineStr">
        <is>
          <t>Developers and integrators build and connect the battery. EIA-860M lists 54,488.9 MW of operating batteries as the sum of sector rows (ERW arithmetic), plus 40,914.3 MW planned and 23,543.8 MW under construction. The ERCOT queue holds 122,304.92 MW of active battery requests across 652 projects; queue requests are not build commitments.</t>
        </is>
      </c>
    </row>
    <row r="12">
      <c r="B12" s="6" t="inlineStr">
        <is>
          <t>Controls</t>
        </is>
      </c>
      <c r="C12" s="6" t="inlineStr">
        <is>
          <t>An energy management system runs the battery. FlexGen's HybridOS is described as an energy management platform that deploys market strategies for storage owners. Stem's PowerTrack is called an Energy Management System in its Q2 2026 release. FlexGen and Fluence also sell hardware, so their software lines are scored separately.</t>
        </is>
      </c>
    </row>
    <row r="13">
      <c r="B13" s="7" t="inlineStr">
        <is>
          <t>Bidding and optimization</t>
        </is>
      </c>
      <c r="C13" s="7" t="inlineStr">
        <is>
          <t>Bid software or a route-to-market service. Fluence sells Mosaic bidding software. Ascend Analytics says SmartBidder is used by more than 30 customers representing over 4 GW. Tyba, GridBeyond, Habitat Energy and Gridmatic also sit here. Gridmatic pays a battery owner a fixed fee to take control of the asset and keeps the market revenue, funded by a 50 million USD fund for up to 500 MW in ERCOT and CAISO.</t>
        </is>
      </c>
    </row>
    <row r="14">
      <c r="B14" s="6" t="inlineStr">
        <is>
          <t>Market participation and settlement</t>
        </is>
      </c>
      <c r="C14" s="6" t="inlineStr">
        <is>
          <t>The ISO, or the optimizer's own scheduling entity, handles participation and settlement. Some optimizers act as the market participant.</t>
        </is>
      </c>
    </row>
    <row r="15">
      <c r="B15" s="7" t="inlineStr">
        <is>
          <t>Customer</t>
        </is>
      </c>
      <c r="C15" s="7" t="inlineStr">
        <is>
          <t>The merchant owner, and behind it the lender and equity investor. Modo Energy sells subscription analytics and benchmarks to battery owners and operators, and raised 15 million USD in an earlier round.</t>
        </is>
      </c>
    </row>
    <row r="16" ht="90" customHeight="1">
      <c r="B16" s="4" t="inlineStr">
        <is>
          <r>
            <rPr>
              <rFont val="Calibri"/>
              <b val="1"/>
              <i val="1"/>
              <color rgb="00808080"/>
              <sz val="10"/>
            </rPr>
            <t xml:space="preserve">Source(s): </t>
          </r>
          <r>
            <rPr>
              <rFont val="Calibri"/>
              <i val="1"/>
              <color rgb="00808080"/>
              <sz val="10"/>
            </rPr>
            <t>E1 ERW table list_tables; E4 ERW table list_tables; E11 ERW table eia860m_operating_generators; E14 ERW table eia860m_operating_generators; E15 ERW table eia860m_planned_generators; E21 ERW table ercot_interconnection_queue; E33 ERW table energy_companies; S63 Stem Announces Second Quarter 2026 Results :: Stem, Inc. (ST; S1 US battery energy storage operators and optimizers - and how; S34 Gridmatic launches US$50 million fund to manage BESS project; S181 Mosaic Intelligent Bidding Software for Renewables and Energ; S10 Battery energy storage analytics platform Modo Energy secure; S12 Battery storage data platform Modo Energy raises $15 million</t>
          </r>
        </is>
      </c>
    </row>
    <row r="18" ht="20" customHeight="1">
      <c r="B18" s="3" t="inlineStr">
        <is>
          <t>(3) ADJACENT NICHES EXCLUDED</t>
        </is>
      </c>
    </row>
    <row r="19">
      <c r="B19" s="5" t="inlineStr">
        <is>
          <t>Niche</t>
        </is>
      </c>
      <c r="C19" s="5" t="inlineStr">
        <is>
          <t>Why it is out of scope</t>
        </is>
      </c>
    </row>
    <row r="20">
      <c r="B20" s="6" t="inlineStr">
        <is>
          <t>Cells, packs and integrator hardware</t>
        </is>
      </c>
      <c r="C20" s="6" t="inlineStr">
        <is>
          <t>Hardware, not dispatch software. Fluence and FlexGen sell hardware too, so their software lines are scored separately.</t>
        </is>
      </c>
    </row>
    <row r="21">
      <c r="B21" s="7" t="inlineStr">
        <is>
          <t>Battery management systems and cell-level analytics</t>
        </is>
      </c>
      <c r="C21" s="7" t="inlineStr">
        <is>
          <t>Cell-level control, not market bidding. The one market figure found, 571.2 million USD in 2025 for cloud-linked BMS optimization software, is a different scope and is not used as niche size.</t>
        </is>
      </c>
    </row>
    <row r="22">
      <c r="B22" s="6" t="inlineStr">
        <is>
          <t>Distributed energy and virtual power plant orchestration</t>
        </is>
      </c>
      <c r="C22" s="6" t="inlineStr">
        <is>
          <t>AutoGrid is tagged as a distributed energy platform. Its stage reads acquired by Schneider Electric (2022), later resold to Uplight (2023) (not confirmed: 2023). It is not merchant grid-scale.</t>
        </is>
      </c>
    </row>
    <row r="23">
      <c r="B23" s="7" t="inlineStr">
        <is>
          <t>Load and price forecasting sold on its own</t>
        </is>
      </c>
      <c r="C23" s="7" t="inlineStr">
        <is>
          <t>Amperon is a forecasting supplier, not a dispatch optimizer.</t>
        </is>
      </c>
    </row>
    <row r="24">
      <c r="B24" s="6" t="inlineStr">
        <is>
          <t>Pumped hydro storage</t>
        </is>
      </c>
      <c r="C24" s="6" t="inlineStr">
        <is>
          <t>The policy table's storage rows are mostly FERC pumped storage filings, not battery software.</t>
        </is>
      </c>
    </row>
    <row r="25">
      <c r="B25" s="7" t="inlineStr">
        <is>
          <t>Geothermal companies</t>
        </is>
      </c>
      <c r="C25" s="7" t="inlineStr">
        <is>
          <t>The ERW company table carries them under a separate tag.</t>
        </is>
      </c>
    </row>
    <row r="26" ht="30" customHeight="1">
      <c r="B26" s="4" t="inlineStr">
        <is>
          <r>
            <rPr>
              <rFont val="Calibri"/>
              <b val="1"/>
              <i val="1"/>
              <color rgb="00808080"/>
              <sz val="10"/>
            </rPr>
            <t xml:space="preserve">Built: </t>
          </r>
          <r>
            <rPr>
              <rFont val="Calibri"/>
              <i val="1"/>
              <color rgb="00808080"/>
              <sz val="10"/>
            </rPr>
            <t>2026-09-28 20:50 UTC by warehouse/thesis/build.py, run 20260928T204245Z; 27 model calls (claude-sonnet-5-5), 35 web searches, USD 2.4746, 8.1 minutes. Numbers not found in a cited source are written as not confirmed.</t>
          </r>
        </is>
      </c>
    </row>
  </sheetData>
  <mergeCells count="7">
    <mergeCell ref="B18:I18"/>
    <mergeCell ref="B6:I6"/>
    <mergeCell ref="B16:I16"/>
    <mergeCell ref="B5:I5"/>
    <mergeCell ref="B8:I8"/>
    <mergeCell ref="B4:I4"/>
    <mergeCell ref="B26:I2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I17"/>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Fundamentals</t>
        </is>
      </c>
    </row>
    <row r="2">
      <c r="B2" s="2" t="inlineStr">
        <is>
          <t>grid-scale battery storage software for merchant operators</t>
        </is>
      </c>
    </row>
    <row r="4" ht="20" customHeight="1">
      <c r="B4" s="3" t="inlineStr">
        <is>
          <t>(1) THE FRAMING NUMBERS</t>
        </is>
      </c>
    </row>
    <row r="5" ht="75" customHeight="1">
      <c r="B5" s="4" t="inlineStr">
        <is>
          <r>
            <rPr>
              <rFont val="Calibri"/>
              <b val="1"/>
              <color rgb="002E2D29"/>
              <sz val="10"/>
            </rPr>
            <t xml:space="preserve">Fact: </t>
          </r>
          <r>
            <rPr>
              <rFont val="Calibri"/>
              <color rgb="002E2D29"/>
              <sz val="10"/>
            </rPr>
            <t>The niche is software, and services sold on top of it, that decides when a grid-scale battery charges and discharges and which market it bids into, for merchant operators who earn wholesale market revenue instead of a fixed contract payment. Modo Energy says optimizers and operators handle real-time dispatch, multi-market bidding (energy, ancillary services, capacity), degradation management, forecasting and reporting. Some act as the market participant and others plug into the owner's existing setup. A software-only market size for the niche is not disclosed by any source we found.</t>
          </r>
        </is>
      </c>
    </row>
    <row r="6">
      <c r="B6" s="5" t="inlineStr">
        <is>
          <t>Metric</t>
        </is>
      </c>
      <c r="C6" s="5" t="inlineStr">
        <is>
          <t>Value</t>
        </is>
      </c>
      <c r="D6" s="5" t="inlineStr">
        <is>
          <t>Unit</t>
        </is>
      </c>
      <c r="E6" s="5" t="inlineStr">
        <is>
          <t>As of</t>
        </is>
      </c>
      <c r="F6" s="5" t="inlineStr">
        <is>
          <t>Source</t>
        </is>
      </c>
    </row>
    <row r="7">
      <c r="B7" s="6" t="inlineStr">
        <is>
          <t>Operating battery nameplate capacity, US (sum of sector rows)</t>
        </is>
      </c>
      <c r="C7" s="6" t="inlineStr">
        <is>
          <t>not confirmed (estimate: 47,460.7 + 6,758.9 + 163.3 + 75.4 + 17.0 + 8.6 + 5.0 = 54,488.9 (not confirmed: 54488.9))</t>
        </is>
      </c>
      <c r="D7" s="6" t="inlineStr">
        <is>
          <t>MW</t>
        </is>
      </c>
      <c r="E7" s="6" t="inlineStr">
        <is>
          <t>2026-08</t>
        </is>
      </c>
      <c r="F7" s="6" t="inlineStr">
        <is>
          <t>E14 (ERW)</t>
        </is>
      </c>
    </row>
    <row r="8">
      <c r="B8" s="7" t="inlineStr">
        <is>
          <t>Operating battery nameplate capacity added by in-service year, 2025</t>
        </is>
      </c>
      <c r="C8" s="7" t="inlineStr">
        <is>
          <t>16,355.0</t>
        </is>
      </c>
      <c r="D8" s="7" t="inlineStr">
        <is>
          <t>MW</t>
        </is>
      </c>
      <c r="E8" s="7" t="inlineStr">
        <is>
          <t>2025</t>
        </is>
      </c>
      <c r="F8" s="7" t="inlineStr">
        <is>
          <t>E12 (ERW)</t>
        </is>
      </c>
    </row>
    <row r="9">
      <c r="B9" s="6" t="inlineStr">
        <is>
          <t>Operating battery nameplate capacity added by in-service year, 2021</t>
        </is>
      </c>
      <c r="C9" s="6" t="inlineStr">
        <is>
          <t>3,131.8</t>
        </is>
      </c>
      <c r="D9" s="6" t="inlineStr">
        <is>
          <t>MW</t>
        </is>
      </c>
      <c r="E9" s="6" t="inlineStr">
        <is>
          <t>2021</t>
        </is>
      </c>
      <c r="F9" s="6" t="inlineStr">
        <is>
          <t>E12 (ERW)</t>
        </is>
      </c>
    </row>
    <row r="10">
      <c r="B10" s="7" t="inlineStr">
        <is>
          <t>Operating battery nameplate capacity added by in-service year, 2026 through 2026-08</t>
        </is>
      </c>
      <c r="C10" s="7" t="inlineStr">
        <is>
          <t>10,838.1</t>
        </is>
      </c>
      <c r="D10" s="7" t="inlineStr">
        <is>
          <t>MW</t>
        </is>
      </c>
      <c r="E10" s="7" t="inlineStr">
        <is>
          <t>2026-08</t>
        </is>
      </c>
      <c r="F10" s="7" t="inlineStr">
        <is>
          <t>E12 (ERW)</t>
        </is>
      </c>
    </row>
    <row r="11">
      <c r="B11" s="6" t="inlineStr">
        <is>
          <t>Planned plus under-construction batteries, EIA-860M</t>
        </is>
      </c>
      <c r="C11" s="6" t="inlineStr">
        <is>
          <t>not confirmed (estimate: 40,914.3 planned + 23,543.8 under construction = 64,458.1 (not confirmed: 64458.1))</t>
        </is>
      </c>
      <c r="D11" s="6" t="inlineStr">
        <is>
          <t>MW</t>
        </is>
      </c>
      <c r="E11" s="6" t="inlineStr">
        <is>
          <t>2026-09-26</t>
        </is>
      </c>
      <c r="F11" s="6" t="inlineStr">
        <is>
          <t>E15 (ERW)</t>
        </is>
      </c>
    </row>
    <row r="12">
      <c r="B12" s="7" t="inlineStr">
        <is>
          <t>ERCOT interconnection queue, active battery requests (652 projects)</t>
        </is>
      </c>
      <c r="C12" s="7" t="inlineStr">
        <is>
          <t>122,304.92</t>
        </is>
      </c>
      <c r="D12" s="7" t="inlineStr">
        <is>
          <t>MW</t>
        </is>
      </c>
      <c r="E12" s="7" t="inlineStr">
        <is>
          <t>2026-09-26</t>
        </is>
      </c>
      <c r="F12" s="7" t="inlineStr">
        <is>
          <t>E21 (ERW)</t>
        </is>
      </c>
    </row>
    <row r="13">
      <c r="B13" s="6" t="inlineStr">
        <is>
          <t>ERCOT HB_NORTH peak-minus-midday median gap, 2025</t>
        </is>
      </c>
      <c r="C13" s="6" t="inlineStr">
        <is>
          <t>12.71</t>
        </is>
      </c>
      <c r="D13" s="6" t="inlineStr">
        <is>
          <t>USD/MWh</t>
        </is>
      </c>
      <c r="E13" s="6" t="inlineStr">
        <is>
          <t>2025</t>
        </is>
      </c>
      <c r="F13" s="6" t="inlineStr">
        <is>
          <t>E19 (ERW)</t>
        </is>
      </c>
    </row>
    <row r="14">
      <c r="B14" s="7" t="inlineStr">
        <is>
          <t>ERCOT HB_NORTH peak-minus-midday median gap, 2024</t>
        </is>
      </c>
      <c r="C14" s="7" t="inlineStr">
        <is>
          <t>7.455</t>
        </is>
      </c>
      <c r="D14" s="7" t="inlineStr">
        <is>
          <t>USD/MWh</t>
        </is>
      </c>
      <c r="E14" s="7" t="inlineStr">
        <is>
          <t>2024</t>
        </is>
      </c>
      <c r="F14" s="7" t="inlineStr">
        <is>
          <t>E19 (ERW)</t>
        </is>
      </c>
    </row>
    <row r="15">
      <c r="B15" s="6" t="inlineStr">
        <is>
          <t>Fluence annual recurring revenue</t>
        </is>
      </c>
      <c r="C15" s="6" t="inlineStr">
        <is>
          <t>not confirmed</t>
        </is>
      </c>
      <c r="D15" s="6" t="inlineStr">
        <is>
          <t>USD</t>
        </is>
      </c>
      <c r="E15" s="6" t="inlineStr">
        <is>
          <t>fiscal year end 2025</t>
        </is>
      </c>
      <c r="F15" s="6" t="inlineStr">
        <is>
          <t>S17</t>
        </is>
      </c>
    </row>
    <row r="16">
      <c r="B16" s="7" t="inlineStr">
        <is>
          <t>Stem annual recurring revenue</t>
        </is>
      </c>
      <c r="C16" s="7" t="inlineStr">
        <is>
          <t>not confirmed</t>
        </is>
      </c>
      <c r="D16" s="7" t="inlineStr">
        <is>
          <t>USD</t>
        </is>
      </c>
      <c r="E16" s="7" t="inlineStr">
        <is>
          <t>2026 Q2</t>
        </is>
      </c>
      <c r="F16" s="7" t="inlineStr">
        <is>
          <t>S63</t>
        </is>
      </c>
    </row>
    <row r="17" ht="60" customHeight="1">
      <c r="B17" s="4" t="inlineStr">
        <is>
          <r>
            <rPr>
              <rFont val="Calibri"/>
              <b val="1"/>
              <i val="1"/>
              <color rgb="00808080"/>
              <sz val="10"/>
            </rPr>
            <t xml:space="preserve">Source(s): </t>
          </r>
          <r>
            <rPr>
              <rFont val="Calibri"/>
              <i val="1"/>
              <color rgb="00808080"/>
              <sz val="10"/>
            </rPr>
            <t>E14 ERW table eia860m_operating_generators; E12 ERW table eia860m_operating_generators; E15 ERW table eia860m_planned_generators; E21 ERW table ercot_interconnection_queue; E19 ERW table ercot_peak_premium_annual; S17 Fluence Energy, Inc. Reports 2025 Financial Results and Init; S63 Stem Announces Second Quarter 2026 Results :: Stem, Inc. (ST; S1 US battery energy storage operators and optimizers - and how</t>
          </r>
        </is>
      </c>
    </row>
  </sheetData>
  <mergeCells count="3">
    <mergeCell ref="B5:I5"/>
    <mergeCell ref="B4:I4"/>
    <mergeCell ref="B17:I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154"/>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Trends</t>
        </is>
      </c>
    </row>
    <row r="2">
      <c r="B2" s="2" t="inlineStr">
        <is>
          <t>grid-scale battery storage software for merchant operators</t>
        </is>
      </c>
    </row>
    <row r="4" ht="20" customHeight="1">
      <c r="B4" s="3" t="inlineStr">
        <is>
          <t>(1) OPERATING BATTERY ADDITIONS ROSE FROM 3,131.8 MW IN 2021 TO 16,355.0 MW IN 2025</t>
        </is>
      </c>
    </row>
    <row r="5" ht="30" customHeight="1">
      <c r="B5" s="4" t="inlineStr">
        <is>
          <r>
            <rPr>
              <rFont val="Calibri"/>
              <b val="1"/>
              <color rgb="002E2D29"/>
              <sz val="10"/>
            </rPr>
            <t xml:space="preserve">Fact: </t>
          </r>
          <r>
            <rPr>
              <rFont val="Calibri"/>
              <color rgb="002E2D29"/>
              <sz val="10"/>
            </rPr>
            <t>Nameplate MW of operating batteries, by in-service year, rose each year from 2021 to 2025. The 2026 figure is 10,838.1 MW through the 2026-08 vintage (eia860m_operating_generators). (not confirmed: 8)</t>
          </r>
        </is>
      </c>
    </row>
    <row r="6">
      <c r="B6" s="5" t="inlineStr">
        <is>
          <t>In-service year</t>
        </is>
      </c>
      <c r="C6" s="5" t="inlineStr">
        <is>
          <t>Nameplate MW</t>
        </is>
      </c>
    </row>
    <row r="7">
      <c r="B7" s="6" t="inlineStr">
        <is>
          <t>2021</t>
        </is>
      </c>
      <c r="C7" s="6" t="n">
        <v>3131.8</v>
      </c>
    </row>
    <row r="8">
      <c r="B8" s="7" t="inlineStr">
        <is>
          <t>2022</t>
        </is>
      </c>
      <c r="C8" s="7" t="n">
        <v>4309</v>
      </c>
    </row>
    <row r="9">
      <c r="B9" s="6" t="inlineStr">
        <is>
          <t>2023</t>
        </is>
      </c>
      <c r="C9" s="6" t="n">
        <v>7238.5</v>
      </c>
    </row>
    <row r="10">
      <c r="B10" s="7" t="inlineStr">
        <is>
          <t>2024</t>
        </is>
      </c>
      <c r="C10" s="7" t="n">
        <v>11066</v>
      </c>
    </row>
    <row r="11">
      <c r="B11" s="6" t="inlineStr">
        <is>
          <t>2025</t>
        </is>
      </c>
      <c r="C11" s="6" t="n">
        <v>16355</v>
      </c>
    </row>
    <row r="12">
      <c r="B12" s="7" t="inlineStr">
        <is>
          <t>not confirmed</t>
        </is>
      </c>
      <c r="C12" s="7" t="n">
        <v>10838.1</v>
      </c>
    </row>
    <row r="28" ht="15" customHeight="1">
      <c r="B28" s="4" t="inlineStr">
        <is>
          <r>
            <rPr>
              <rFont val="Calibri"/>
              <b val="1"/>
              <i val="1"/>
              <color rgb="00808080"/>
              <sz val="10"/>
            </rPr>
            <t xml:space="preserve">Source(s): </t>
          </r>
          <r>
            <rPr>
              <rFont val="Calibri"/>
              <i val="1"/>
              <color rgb="00808080"/>
              <sz val="10"/>
            </rPr>
            <t>E12 ERW table eia860m_operating_generators</t>
          </r>
        </is>
      </c>
    </row>
    <row r="30" ht="20" customHeight="1">
      <c r="B30" s="3" t="inlineStr">
        <is>
          <t>(2) ERCOT HB_NORTH PEAK-MINUS-MIDDAY MEDIAN GAP WAS 12.71 USD/MWH IN 2025, AGAINST 7.455 IN 2024</t>
        </is>
      </c>
    </row>
    <row r="31" ht="30" customHeight="1">
      <c r="B31" s="4" t="inlineStr">
        <is>
          <r>
            <rPr>
              <rFont val="Calibri"/>
              <b val="1"/>
              <color rgb="002E2D29"/>
              <sz val="10"/>
            </rPr>
            <t xml:space="preserve">Fact: </t>
          </r>
          <r>
            <rPr>
              <rFont val="Calibri"/>
              <color rgb="002E2D29"/>
              <sz val="10"/>
            </rPr>
            <t>The peak-minus-midday median gap at HB_NORTH was 14.415 USD/MWh in 2022, 5.04 in 2023, 7.455 in 2024 and 12.71 in 2025. The 2026 partial-year value is 12.385 (ercot_peak_premium_annual).</t>
          </r>
        </is>
      </c>
    </row>
    <row r="32">
      <c r="B32" s="5" t="inlineStr">
        <is>
          <t>Year</t>
        </is>
      </c>
      <c r="C32" s="5" t="inlineStr">
        <is>
          <t>Peak minus midday median (USD/MWh)</t>
        </is>
      </c>
    </row>
    <row r="33">
      <c r="B33" s="6" t="inlineStr">
        <is>
          <t>2021</t>
        </is>
      </c>
      <c r="C33" s="6" t="n">
        <v>3.205</v>
      </c>
    </row>
    <row r="34">
      <c r="B34" s="7" t="inlineStr">
        <is>
          <t>2022</t>
        </is>
      </c>
      <c r="C34" s="7" t="n">
        <v>14.415</v>
      </c>
    </row>
    <row r="35">
      <c r="B35" s="6" t="inlineStr">
        <is>
          <t>2023</t>
        </is>
      </c>
      <c r="C35" s="6" t="n">
        <v>5.04</v>
      </c>
    </row>
    <row r="36">
      <c r="B36" s="7" t="inlineStr">
        <is>
          <t>2024</t>
        </is>
      </c>
      <c r="C36" s="7" t="n">
        <v>7.455</v>
      </c>
    </row>
    <row r="37">
      <c r="B37" s="6" t="inlineStr">
        <is>
          <t>2025</t>
        </is>
      </c>
      <c r="C37" s="6" t="n">
        <v>12.71</v>
      </c>
    </row>
    <row r="38">
      <c r="B38" s="7" t="inlineStr">
        <is>
          <t>2026 (partial)</t>
        </is>
      </c>
      <c r="C38" s="7" t="n">
        <v>12.385</v>
      </c>
    </row>
    <row r="78" ht="30" customHeight="1">
      <c r="B78" s="4" t="inlineStr">
        <is>
          <r>
            <rPr>
              <rFont val="Calibri"/>
              <b val="1"/>
              <i val="1"/>
              <color rgb="00808080"/>
              <sz val="10"/>
            </rPr>
            <t xml:space="preserve">Chart: </t>
          </r>
          <r>
            <rPr>
              <rFont val="Calibri"/>
              <i val="1"/>
              <color rgb="00808080"/>
              <sz val="10"/>
            </rPr>
            <t>ERW Automated Analysis template peak_premium_block. Source: ERCOT via the Energy Research Warehouse (ERW), tables ercot_rtm_hub_prices, ercot_rtm_hub_prices_2025, ercot_rtm_hub_prices_2026; data retrieved to 2026-09-28.</t>
          </r>
        </is>
      </c>
    </row>
    <row r="79" ht="15" customHeight="1">
      <c r="B79" s="4" t="inlineStr">
        <is>
          <r>
            <rPr>
              <rFont val="Calibri"/>
              <b val="1"/>
              <i val="1"/>
              <color rgb="00808080"/>
              <sz val="10"/>
            </rPr>
            <t xml:space="preserve">Source(s): </t>
          </r>
          <r>
            <rPr>
              <rFont val="Calibri"/>
              <i val="1"/>
              <color rgb="00808080"/>
              <sz val="10"/>
            </rPr>
            <t>E19 ERW table ercot_peak_premium_annual</t>
          </r>
        </is>
      </c>
    </row>
    <row r="81" ht="20" customHeight="1">
      <c r="B81" s="3" t="inlineStr">
        <is>
          <t>(3) CAISO CURTAILED SOLAR WAS 3,482,322.883 MWH IN 2025, AGAINST 2,508,923.397 MWH IN 2023</t>
        </is>
      </c>
    </row>
    <row r="82" ht="45" customHeight="1">
      <c r="B82" s="4" t="inlineStr">
        <is>
          <r>
            <rPr>
              <rFont val="Calibri"/>
              <b val="1"/>
              <color rgb="002E2D29"/>
              <sz val="10"/>
            </rPr>
            <t xml:space="preserve">Fact: </t>
          </r>
          <r>
            <rPr>
              <rFont val="Calibri"/>
              <color rgb="002E2D29"/>
              <sz val="10"/>
            </rPr>
            <t>CAISO curtailed solar reached 4,766,882.455 MWh in 2026 through 2026-09-25. Peak CAISO battery output was 13,441 MW in 2026-08, and peak stand-alone output was 12,503 MW (caiso_curtailment_daily, caiso_battery_storage). (not confirmed: 13441)</t>
          </r>
        </is>
      </c>
    </row>
    <row r="83">
      <c r="B83" s="5" t="inlineStr">
        <is>
          <t>Year</t>
        </is>
      </c>
      <c r="C83" s="5" t="inlineStr">
        <is>
          <t>Curtailed solar (MWh)</t>
        </is>
      </c>
    </row>
    <row r="84">
      <c r="B84" s="6" t="inlineStr">
        <is>
          <t>2022</t>
        </is>
      </c>
      <c r="C84" s="6" t="n">
        <v>2320258.422</v>
      </c>
    </row>
    <row r="85">
      <c r="B85" s="7" t="inlineStr">
        <is>
          <t>2023</t>
        </is>
      </c>
      <c r="C85" s="7" t="n">
        <v>2508923.397</v>
      </c>
    </row>
    <row r="86">
      <c r="B86" s="6" t="inlineStr">
        <is>
          <t>2024</t>
        </is>
      </c>
      <c r="C86" s="6" t="n">
        <v>3192599.949</v>
      </c>
    </row>
    <row r="87">
      <c r="B87" s="7" t="inlineStr">
        <is>
          <t>2025</t>
        </is>
      </c>
      <c r="C87" s="7" t="n">
        <v>3482322.883</v>
      </c>
    </row>
    <row r="88">
      <c r="B88" s="6" t="inlineStr">
        <is>
          <t>2026 (through 2026-09-25)</t>
        </is>
      </c>
      <c r="C88" s="6" t="n">
        <v>4766882.455</v>
      </c>
    </row>
    <row r="128" ht="30" customHeight="1">
      <c r="B128" s="4" t="inlineStr">
        <is>
          <r>
            <rPr>
              <rFont val="Calibri"/>
              <b val="1"/>
              <i val="1"/>
              <color rgb="00808080"/>
              <sz val="10"/>
            </rPr>
            <t xml:space="preserve">Chart: </t>
          </r>
          <r>
            <rPr>
              <rFont val="Calibri"/>
              <i val="1"/>
              <color rgb="00808080"/>
              <sz val="10"/>
            </rPr>
            <t>ERW Automated Analysis template curtailment_midday. Source: CAISO via the Energy Research Warehouse (ERW), tables caiso_curtailment_daily, caiso_rtm_hub_prices; data retrieved to 2026-09-28.</t>
          </r>
        </is>
      </c>
    </row>
    <row r="129" ht="15" customHeight="1">
      <c r="B129" s="4" t="inlineStr">
        <is>
          <r>
            <rPr>
              <rFont val="Calibri"/>
              <b val="1"/>
              <i val="1"/>
              <color rgb="00808080"/>
              <sz val="10"/>
            </rPr>
            <t xml:space="preserve">Source(s): </t>
          </r>
          <r>
            <rPr>
              <rFont val="Calibri"/>
              <i val="1"/>
              <color rgb="00808080"/>
              <sz val="10"/>
            </rPr>
            <t>E27 ERW table caiso_curtailment_daily; E29 ERW table caiso_battery_storage</t>
          </r>
        </is>
      </c>
    </row>
    <row r="131" ht="20" customHeight="1">
      <c r="B131" s="3" t="inlineStr">
        <is>
          <t>(4) ERCOT HOLDS 122,304.92 MW OF ACTIVE BATTERY QUEUE REQUESTS ACROSS 652 PROJECTS</t>
        </is>
      </c>
    </row>
    <row r="132" ht="30" customHeight="1">
      <c r="B132" s="4" t="inlineStr">
        <is>
          <r>
            <rPr>
              <rFont val="Calibri"/>
              <b val="1"/>
              <color rgb="002E2D29"/>
              <sz val="10"/>
            </rPr>
            <t xml:space="preserve">Fact: </t>
          </r>
          <r>
            <rPr>
              <rFont val="Calibri"/>
              <color rgb="002E2D29"/>
              <sz val="10"/>
            </rPr>
            <t>EIA-860M lists 40,914.3 MW of planned and 23,543.8 MW under-construction batteries. Planned batteries in ERCO total 24,569.1 MW. Queue requests are not build commitments.</t>
          </r>
        </is>
      </c>
    </row>
    <row r="133">
      <c r="B133" s="5" t="inlineStr">
        <is>
          <t>Measure</t>
        </is>
      </c>
      <c r="C133" s="5" t="inlineStr">
        <is>
          <t>Value</t>
        </is>
      </c>
    </row>
    <row r="134">
      <c r="B134" s="6" t="inlineStr">
        <is>
          <t>ERCOT queue, active battery requests (MW)</t>
        </is>
      </c>
      <c r="C134" s="6" t="inlineStr">
        <is>
          <t>122304.92</t>
        </is>
      </c>
    </row>
    <row r="135">
      <c r="B135" s="7" t="inlineStr">
        <is>
          <t>ERCOT queue, active battery projects</t>
        </is>
      </c>
      <c r="C135" s="7" t="inlineStr">
        <is>
          <t>652</t>
        </is>
      </c>
    </row>
    <row r="136">
      <c r="B136" s="6" t="inlineStr">
        <is>
          <t>ERCOT queue, active solar requests (MW)</t>
        </is>
      </c>
      <c r="C136" s="6" t="inlineStr">
        <is>
          <t>86973.32</t>
        </is>
      </c>
    </row>
    <row r="137">
      <c r="B137" s="7" t="inlineStr">
        <is>
          <t>EIA-860M planned batteries (MW)</t>
        </is>
      </c>
      <c r="C137" s="7" t="inlineStr">
        <is>
          <t>40914.3</t>
        </is>
      </c>
    </row>
    <row r="138">
      <c r="B138" s="6" t="inlineStr">
        <is>
          <t>EIA-860M batteries under construction (MW)</t>
        </is>
      </c>
      <c r="C138" s="6" t="inlineStr">
        <is>
          <t>23543.8</t>
        </is>
      </c>
    </row>
    <row r="139">
      <c r="B139" s="7" t="inlineStr">
        <is>
          <t>EIA-860M planned batteries, ERCO (MW)</t>
        </is>
      </c>
      <c r="C139" s="7" t="inlineStr">
        <is>
          <t>24569.1</t>
        </is>
      </c>
    </row>
    <row r="140">
      <c r="B140" s="6" t="inlineStr">
        <is>
          <t>EIA-860M planned batteries, CISO (MW)</t>
        </is>
      </c>
      <c r="C140" s="6" t="inlineStr">
        <is>
          <t>10921.6</t>
        </is>
      </c>
    </row>
    <row r="141" ht="30" customHeight="1">
      <c r="B141" s="4" t="inlineStr">
        <is>
          <r>
            <rPr>
              <rFont val="Calibri"/>
              <b val="1"/>
              <i val="1"/>
              <color rgb="00808080"/>
              <sz val="10"/>
            </rPr>
            <t xml:space="preserve">Source(s): </t>
          </r>
          <r>
            <rPr>
              <rFont val="Calibri"/>
              <i val="1"/>
              <color rgb="00808080"/>
              <sz val="10"/>
            </rPr>
            <t>E15 ERW table eia860m_planned_generators; E16 ERW table eia860m_planned_generators; E21 ERW table ercot_interconnection_queue</t>
          </r>
        </is>
      </c>
    </row>
    <row r="143" ht="20" customHeight="1">
      <c r="B143" s="3" t="inlineStr">
        <is>
          <t>(5) INDEPENDENT POWER PRODUCERS HOLD 47,460.7 MW OF OPERATING BATTERIES; TEXAS HAS 18,404.5 MW AND CALIFORNIA 16,333.7 MW</t>
        </is>
      </c>
    </row>
    <row r="144" ht="30" customHeight="1">
      <c r="B144" s="4" t="inlineStr">
        <is>
          <r>
            <rPr>
              <rFont val="Calibri"/>
              <b val="1"/>
              <color rgb="002E2D29"/>
              <sz val="10"/>
            </rPr>
            <t xml:space="preserve">Fact: </t>
          </r>
          <r>
            <rPr>
              <rFont val="Calibri"/>
              <color rgb="002E2D29"/>
              <sz val="10"/>
            </rPr>
            <t>Operating battery nameplate MW by sector, and by state for the largest states (eia860m_operating_generators, vintage 2026-08).</t>
          </r>
        </is>
      </c>
    </row>
    <row r="145">
      <c r="B145" s="5" t="inlineStr">
        <is>
          <t>Sector or state</t>
        </is>
      </c>
      <c r="C145" s="5" t="inlineStr">
        <is>
          <t>Nameplate MW</t>
        </is>
      </c>
    </row>
    <row r="146">
      <c r="B146" s="6" t="inlineStr">
        <is>
          <t>IPP Non-CHP</t>
        </is>
      </c>
      <c r="C146" s="6" t="inlineStr">
        <is>
          <t>47460.7</t>
        </is>
      </c>
    </row>
    <row r="147">
      <c r="B147" s="7" t="inlineStr">
        <is>
          <t>Electric Utility</t>
        </is>
      </c>
      <c r="C147" s="7" t="inlineStr">
        <is>
          <t>6758.9</t>
        </is>
      </c>
    </row>
    <row r="148">
      <c r="B148" s="6" t="inlineStr">
        <is>
          <t>Industrial Non-CHP</t>
        </is>
      </c>
      <c r="C148" s="6" t="inlineStr">
        <is>
          <t>163.3</t>
        </is>
      </c>
    </row>
    <row r="149">
      <c r="B149" s="7" t="inlineStr">
        <is>
          <t>Commercial Non-CHP</t>
        </is>
      </c>
      <c r="C149" s="7" t="inlineStr">
        <is>
          <t>75.4</t>
        </is>
      </c>
    </row>
    <row r="150">
      <c r="B150" s="6" t="inlineStr">
        <is>
          <t>California</t>
        </is>
      </c>
      <c r="C150" s="6" t="inlineStr">
        <is>
          <t>16333.7</t>
        </is>
      </c>
    </row>
    <row r="151">
      <c r="B151" s="7" t="inlineStr">
        <is>
          <t>Arizona</t>
        </is>
      </c>
      <c r="C151" s="7" t="inlineStr">
        <is>
          <t>6648.8</t>
        </is>
      </c>
    </row>
    <row r="152">
      <c r="B152" s="6" t="inlineStr">
        <is>
          <t>Nevada</t>
        </is>
      </c>
      <c r="C152" s="6" t="inlineStr">
        <is>
          <t>2104.0</t>
        </is>
      </c>
    </row>
    <row r="153">
      <c r="B153" s="7" t="inlineStr">
        <is>
          <t>New Mexico</t>
        </is>
      </c>
      <c r="C153" s="7" t="inlineStr">
        <is>
          <t>1360.2</t>
        </is>
      </c>
    </row>
    <row r="154" ht="15" customHeight="1">
      <c r="B154" s="4" t="inlineStr">
        <is>
          <r>
            <rPr>
              <rFont val="Calibri"/>
              <b val="1"/>
              <i val="1"/>
              <color rgb="00808080"/>
              <sz val="10"/>
            </rPr>
            <t xml:space="preserve">Source(s): </t>
          </r>
          <r>
            <rPr>
              <rFont val="Calibri"/>
              <i val="1"/>
              <color rgb="00808080"/>
              <sz val="10"/>
            </rPr>
            <t>E11 ERW table eia860m_operating_generators; E14 ERW table eia860m_operating_generators</t>
          </r>
        </is>
      </c>
    </row>
  </sheetData>
  <mergeCells count="17">
    <mergeCell ref="B143:I143"/>
    <mergeCell ref="B30:I30"/>
    <mergeCell ref="B82:I82"/>
    <mergeCell ref="B78:I78"/>
    <mergeCell ref="B144:I144"/>
    <mergeCell ref="B129:I129"/>
    <mergeCell ref="B154:I154"/>
    <mergeCell ref="B81:I81"/>
    <mergeCell ref="B28:I28"/>
    <mergeCell ref="B141:I141"/>
    <mergeCell ref="B5:I5"/>
    <mergeCell ref="B128:I128"/>
    <mergeCell ref="B31:I31"/>
    <mergeCell ref="B79:I79"/>
    <mergeCell ref="B132:I132"/>
    <mergeCell ref="B131:I131"/>
    <mergeCell ref="B4:I4"/>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1:J13"/>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Landscape</t>
        </is>
      </c>
    </row>
    <row r="2">
      <c r="B2" s="2" t="inlineStr">
        <is>
          <t>grid-scale battery storage software for merchant operators</t>
        </is>
      </c>
    </row>
    <row r="4" ht="20" customHeight="1">
      <c r="B4" s="3" t="inlineStr">
        <is>
          <t>(1) COMPANIES</t>
        </is>
      </c>
    </row>
    <row r="5" ht="30" customHeight="1">
      <c r="B5" s="4" t="inlineStr">
        <is>
          <r>
            <rPr>
              <rFont val="Calibri"/>
              <b val="1"/>
              <color rgb="002E2D29"/>
              <sz val="10"/>
            </rPr>
            <t xml:space="preserve">Fact: </t>
          </r>
          <r>
            <rPr>
              <rFont val="Calibri"/>
              <color rgb="002E2D29"/>
              <sz val="10"/>
            </rPr>
            <t>Operating batteries in the EIA-860M inventory total 54,488.9 MW nameplate, and Texas (18,404.5 MW) and California (16,333.7 MW) together hold 34,738.2 MW, or 63.8% of it (ERW arithmetic). (not confirmed: 54488.9, 34738.2, 63.8)</t>
          </r>
        </is>
      </c>
    </row>
    <row r="6">
      <c r="B6" s="5" t="inlineStr">
        <is>
          <t>Company</t>
        </is>
      </c>
      <c r="C6" s="5" t="inlineStr">
        <is>
          <t>What it does</t>
        </is>
      </c>
      <c r="D6" s="5" t="inlineStr">
        <is>
          <t>Founders</t>
        </is>
      </c>
      <c r="E6" s="5" t="inlineStr">
        <is>
          <t>Stage</t>
        </is>
      </c>
      <c r="F6" s="5" t="inlineStr">
        <is>
          <t>Raised</t>
        </is>
      </c>
      <c r="G6" s="5" t="inlineStr">
        <is>
          <t>Location</t>
        </is>
      </c>
      <c r="H6" s="5" t="inlineStr">
        <is>
          <t>Signal</t>
        </is>
      </c>
      <c r="I6" s="5" t="inlineStr">
        <is>
          <t>Sources</t>
        </is>
      </c>
      <c r="J6" s="5" t="inlineStr">
        <is>
          <t>Confidence (0 to 100)</t>
        </is>
      </c>
    </row>
    <row r="7">
      <c r="B7" s="6" t="inlineStr">
        <is>
          <t>Tyba</t>
        </is>
      </c>
      <c r="C7" s="6" t="inlineStr">
        <is>
          <t>AI-powered simulation and operating platform for standalone and hybrid storage projects.</t>
        </is>
      </c>
      <c r="D7" s="6" t="inlineStr">
        <is>
          <t>Michael Baker (CEO). The warehouse lists Tyler Nisonoff, Michael Baker and Tom Thunell, founded 2022; unverified.</t>
        </is>
      </c>
      <c r="E7" s="6" t="inlineStr">
        <is>
          <t>Series A</t>
        </is>
      </c>
      <c r="F7" s="6" t="inlineStr">
        <is>
          <t>$13.9 million Series A, bringing total funding to $18.15 million</t>
        </is>
      </c>
      <c r="G7" s="6" t="inlineStr">
        <is>
          <t>San Francisco, California</t>
        </is>
      </c>
      <c r="H7" s="6" t="inlineStr">
        <is>
          <t>Series A announced 2025-02-06, led by Energize Capital. Heatmap reports Tyba supports over 1 gigawatt of batteries in California and Texas.</t>
        </is>
      </c>
      <c r="I7" s="6" t="inlineStr">
        <is>
          <t>E46, E52, E53, E54, S55, S57, S119</t>
        </is>
      </c>
      <c r="J7" s="6" t="inlineStr">
        <is>
          <t>90: 3 independent sources, latest 2025; stage not confirmed and raised confirmed by a primary source</t>
        </is>
      </c>
    </row>
    <row r="8">
      <c r="B8" s="7" t="inlineStr">
        <is>
          <t>Gridmatic</t>
        </is>
      </c>
      <c r="C8" s="7" t="inlineStr">
        <is>
          <t>AI-enabled power marketer that manages third-party batteries and renewables.</t>
        </is>
      </c>
      <c r="D8" s="7" t="inlineStr">
        <is>
          <t>Matt Wytock, founded 2016</t>
        </is>
      </c>
      <c r="E8" s="7" t="inlineStr">
        <is>
          <t>private, dedicated storage fund (not a conventional VC round)</t>
        </is>
      </c>
      <c r="F8" s="7" t="inlineStr">
        <is>
          <t>$50 million cumulative capital commitments, second closing of its first energy storage fund</t>
        </is>
      </c>
      <c r="G8" s="7" t="inlineStr">
        <is>
          <t>not disclosed</t>
        </is>
      </c>
      <c r="H8" s="7" t="inlineStr">
        <is>
          <t>Fund is to oversee up to 500 MW of battery capacity in ERCOT and CAISO; a tolling model in which the owner is paid a fixed fee.</t>
        </is>
      </c>
      <c r="I8" s="7" t="inlineStr">
        <is>
          <t>E44, E52, E53, E56, S34, S39, S154</t>
        </is>
      </c>
      <c r="J8" s="7" t="inlineStr">
        <is>
          <t>70: 3 independent sources, latest 2023; stage not confirmed and raised not confirmed by a primary source</t>
        </is>
      </c>
    </row>
    <row r="9">
      <c r="B9" s="6" t="inlineStr">
        <is>
          <t>Habitat Energy</t>
        </is>
      </c>
      <c r="C9" s="6" t="inlineStr">
        <is>
          <t>Algorithmic trading and optimization platform for grid-scale batteries, with route to market in wholesale and balancing markets.</t>
        </is>
      </c>
      <c r="D9" s="6" t="inlineStr">
        <is>
          <t>not disclosed</t>
        </is>
      </c>
      <c r="E9" s="6" t="inlineStr">
        <is>
          <t>not disclosed</t>
        </is>
      </c>
      <c r="F9" s="6" t="inlineStr">
        <is>
          <t>not disclosed</t>
        </is>
      </c>
      <c r="G9" s="6" t="inlineStr">
        <is>
          <t>Oxford, Oxfordshire, United Kingdom</t>
        </is>
      </c>
      <c r="H9" s="6" t="inlineStr">
        <is>
          <t>Acquired by Quinbrook (reported 2025-07-28; price not disclosed). US platform launched 2022-09-14 with Glidepath on 60 MW in ERCOT; later signed to optimise a 730MW ERCOT portfolio for UBS.</t>
        </is>
      </c>
      <c r="I9" s="6" t="inlineStr">
        <is>
          <t>E45, E53, E55, S45, S46, S47, S146</t>
        </is>
      </c>
      <c r="J9" s="6" t="inlineStr">
        <is>
          <t>80: 3 independent sources, latest 2026; stage not confirmed and raised not confirmed by a primary source</t>
        </is>
      </c>
    </row>
    <row r="10">
      <c r="B10" s="7" t="inlineStr">
        <is>
          <t>GridBeyond</t>
        </is>
      </c>
      <c r="C10" s="7" t="inlineStr">
        <is>
          <t>Optimization and trading platform for grid-scale storage, integrating into wholesale and balancing markets.</t>
        </is>
      </c>
      <c r="D10" s="7" t="inlineStr">
        <is>
          <t>Michael Phelan and Padraig Curran, founded 2007 (one company release states 2010)</t>
        </is>
      </c>
      <c r="E10" s="7" t="inlineStr">
        <is>
          <t>Series D</t>
        </is>
      </c>
      <c r="F10" s="7" t="inlineStr">
        <is>
          <t>$12 million equity round (Series D); total funding of $89.9M across 12 rounds to date</t>
        </is>
      </c>
      <c r="G10" s="7" t="inlineStr">
        <is>
          <t>Dublin, Ireland</t>
        </is>
      </c>
      <c r="H10" s="7" t="inlineStr">
        <is>
          <t>Series D investors include Samsung Ventures, ABB, Constellation and Act Venture Capital; ABB partnership on BESS-as-a-Service announced 2025-05-30.</t>
        </is>
      </c>
      <c r="I10" s="7" t="inlineStr">
        <is>
          <t>E43, E52, E53, E57, S128, S130, S131</t>
        </is>
      </c>
      <c r="J10" s="7" t="inlineStr">
        <is>
          <t>80: 3 independent sources, latest 2026; stage not confirmed and raised not confirmed by a primary source</t>
        </is>
      </c>
    </row>
    <row r="11">
      <c r="B11" s="6" t="inlineStr">
        <is>
          <t>Modo Energy</t>
        </is>
      </c>
      <c r="C11" s="6" t="inlineStr">
        <is>
          <t>Battery-storage analytics and benchmarking platform; research and benchmarking, not dispatch.</t>
        </is>
      </c>
      <c r="D11" s="6" t="inlineStr">
        <is>
          <t>Quentin Scrimshire and Tim Overton, founded 2019</t>
        </is>
      </c>
      <c r="E11" s="6" t="inlineStr">
        <is>
          <t>Series B</t>
        </is>
      </c>
      <c r="F11" s="6" t="inlineStr">
        <is>
          <t>not confirmed</t>
        </is>
      </c>
      <c r="G11" s="6" t="inlineStr">
        <is>
          <t>Birmingham, United Kingdom</t>
        </is>
      </c>
      <c r="H11" s="6" t="inlineStr">
        <is>
          <t>Series B led by Molten Ventures, with ETF Partners, MMC Ventures and Fred Olsen. Earlier Series A of $15 million led by MMC Ventures.</t>
        </is>
      </c>
      <c r="I11" s="6" t="inlineStr">
        <is>
          <t>S155, S12, S158</t>
        </is>
      </c>
      <c r="J11" s="6" t="inlineStr">
        <is>
          <t>80: 3 independent sources, latest 2025; stage not confirmed and raised not confirmed by a primary source</t>
        </is>
      </c>
    </row>
    <row r="12">
      <c r="B12" s="7" t="inlineStr">
        <is>
          <t>Ascend Analytics</t>
        </is>
      </c>
      <c r="C12" s="7" t="inlineStr">
        <is>
          <t>Market intelligence and battery bid-optimization software; its SmartBidder is used by more than 30 customers representing over 4 GW.</t>
        </is>
      </c>
      <c r="D12" s="7" t="inlineStr">
        <is>
          <t>not disclosed</t>
        </is>
      </c>
      <c r="E12" s="7" t="inlineStr">
        <is>
          <t>not disclosed</t>
        </is>
      </c>
      <c r="F12" s="7" t="inlineStr">
        <is>
          <t>not disclosed</t>
        </is>
      </c>
      <c r="G12" s="7" t="inlineStr">
        <is>
          <t>not disclosed</t>
        </is>
      </c>
      <c r="H12" s="7" t="inlineStr">
        <is>
          <t>Publishes ERCOT RTC+B bidding strategy research.</t>
        </is>
      </c>
      <c r="I12" s="7" t="inlineStr">
        <is>
          <t>S1, S166, S167, S237</t>
        </is>
      </c>
      <c r="J12" s="7" t="inlineStr">
        <is>
          <t>80: 3 independent sources, latest 2026; stage not confirmed and raised not confirmed by a primary source</t>
        </is>
      </c>
    </row>
    <row r="13" ht="210" customHeight="1">
      <c r="B13" s="4" t="inlineStr">
        <is>
          <r>
            <rPr>
              <rFont val="Calibri"/>
              <b val="1"/>
              <i val="1"/>
              <color rgb="00808080"/>
              <sz val="10"/>
            </rPr>
            <t xml:space="preserve">Source(s): </t>
          </r>
          <r>
            <rPr>
              <rFont val="Calibri"/>
              <i val="1"/>
              <color rgb="00808080"/>
              <sz val="10"/>
            </rPr>
            <t>E46 ERW table energy_companies; E52 ERW table energy_companies; E53 ERW table energy_companies; E54 ERW table energy_companies; S55 Tyba raises $13.9M Series A to improve the profitability of ; S57 Tyba Raises $14 Million to Help Batteries Make Money - Heatm; S119 Series A - Tyba - 2025-02-06; E44 ERW table energy_companies; E56 ERW table energy_companies; S34 Gridmatic launches US$50 million fund to manage BESS project; S39 Gridmatic: AI-Enabled Power Marketer Company Raises $50 Mill; S154 Gridmatic Closes %2450 Million Energy Storage Fund Underscor; E45 ERW table energy_companies; E55 ERW table energy_companies; S45 Habitat Energy acquired by Quinbrook as it eyes further glob; S46 Canadian Solar Invests in Strategic Partnership with AI Ener; S47 Habitat Energy launches US Battery storage optimization plat; S146 Habitat Energy to optimise 730MW ERCOT battery storage portf; E43 ERW table energy_companies; E57 ERW table energy_companies; S128 Energy management startup GridBeyond funding round raises $1; S130 GridBeyond and ABB Deepen Strategic Partnership to Power BES; S131 Energy management startup GridBeyond funding round raises $1; S155 Modo Energy Raises 30.0M USD in Series B Funding | Seedtable; S12 Battery storage data platform Modo Energy raises $15 million; S158 Modo Energy raises $30m Series B - Research | Modo Energy; S1 US battery energy storage operators and optimizers - and how; S166 New Generation Battery Storage Revenue Modeling &amp; Asset Valu; S167 Ascend Analytics: Leveraging Bid Optimization Software to Ma; S237 After RTC+B: What are Top-Performing BESS Operators Doing Di</t>
          </r>
        </is>
      </c>
    </row>
  </sheetData>
  <mergeCells count="3">
    <mergeCell ref="B13:I13"/>
    <mergeCell ref="B5:I5"/>
    <mergeCell ref="B4:I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I10"/>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Capital</t>
        </is>
      </c>
    </row>
    <row r="2">
      <c r="B2" s="2" t="inlineStr">
        <is>
          <t>grid-scale battery storage software for merchant operators</t>
        </is>
      </c>
    </row>
    <row r="4" ht="20" customHeight="1">
      <c r="B4" s="3" t="inlineStr">
        <is>
          <t>(1) ROUNDS, PROJECT FINANCE AND M&amp;A</t>
        </is>
      </c>
    </row>
    <row r="5" ht="30" customHeight="1">
      <c r="B5" s="4" t="inlineStr">
        <is>
          <r>
            <rPr>
              <rFont val="Calibri"/>
              <b val="1"/>
              <color rgb="002E2D29"/>
              <sz val="10"/>
            </rPr>
            <t xml:space="preserve">Fact: </t>
          </r>
          <r>
            <rPr>
              <rFont val="Calibri"/>
              <color rgb="002E2D29"/>
              <sz val="10"/>
            </rPr>
            <t>ERW's energy_deals table, 191 deals from 2025-10-01 to 2026-09-26, holds no battery-software financing, so these rows rest on company and press sources.</t>
          </r>
        </is>
      </c>
    </row>
    <row r="6">
      <c r="B6" s="5" t="inlineStr">
        <is>
          <t>Date</t>
        </is>
      </c>
      <c r="C6" s="5" t="inlineStr">
        <is>
          <t>Company</t>
        </is>
      </c>
      <c r="D6" s="5" t="inlineStr">
        <is>
          <t>Kind</t>
        </is>
      </c>
      <c r="E6" s="5" t="inlineStr">
        <is>
          <t>Amount</t>
        </is>
      </c>
      <c r="F6" s="5" t="inlineStr">
        <is>
          <t>Currency</t>
        </is>
      </c>
      <c r="G6" s="5" t="inlineStr">
        <is>
          <t>Investors</t>
        </is>
      </c>
      <c r="H6" s="5" t="inlineStr">
        <is>
          <t>Sources</t>
        </is>
      </c>
    </row>
    <row r="7">
      <c r="B7" s="6" t="inlineStr"/>
      <c r="C7" s="6" t="inlineStr">
        <is>
          <t>Tyba</t>
        </is>
      </c>
      <c r="D7" s="6" t="inlineStr">
        <is>
          <t>Series A</t>
        </is>
      </c>
      <c r="E7" s="6" t="inlineStr">
        <is>
          <t>13.9 million</t>
        </is>
      </c>
      <c r="F7" s="6" t="inlineStr">
        <is>
          <t>USD</t>
        </is>
      </c>
      <c r="G7" s="6" t="inlineStr"/>
      <c r="H7" s="6" t="inlineStr">
        <is>
          <t>S55, S101, E46</t>
        </is>
      </c>
    </row>
    <row r="8">
      <c r="B8" s="7" t="inlineStr"/>
      <c r="C8" s="7" t="inlineStr">
        <is>
          <t>Habitat Energy</t>
        </is>
      </c>
      <c r="D8" s="7" t="inlineStr">
        <is>
          <t>Acquisition</t>
        </is>
      </c>
      <c r="E8" s="7" t="inlineStr">
        <is>
          <t>not disclosed</t>
        </is>
      </c>
      <c r="F8" s="7" t="inlineStr">
        <is>
          <t>not disclosed</t>
        </is>
      </c>
      <c r="G8" s="7" t="inlineStr"/>
      <c r="H8" s="7" t="inlineStr">
        <is>
          <t>S45</t>
        </is>
      </c>
    </row>
    <row r="9">
      <c r="B9" s="6" t="inlineStr"/>
      <c r="C9" s="6" t="inlineStr">
        <is>
          <t>FlexGen Power Systems</t>
        </is>
      </c>
      <c r="D9" s="6" t="inlineStr">
        <is>
          <t>Series C</t>
        </is>
      </c>
      <c r="E9" s="6" t="inlineStr">
        <is>
          <t>100 million</t>
        </is>
      </c>
      <c r="F9" s="6" t="inlineStr">
        <is>
          <t>USD</t>
        </is>
      </c>
      <c r="G9" s="6" t="inlineStr">
        <is>
          <t>Vitol (anchor), existing investors</t>
        </is>
      </c>
      <c r="H9" s="6" t="inlineStr">
        <is>
          <t>S139, E47</t>
        </is>
      </c>
    </row>
    <row r="10" ht="45" customHeight="1">
      <c r="B10" s="4" t="inlineStr">
        <is>
          <r>
            <rPr>
              <rFont val="Calibri"/>
              <b val="1"/>
              <i val="1"/>
              <color rgb="00808080"/>
              <sz val="10"/>
            </rPr>
            <t xml:space="preserve">Source(s): </t>
          </r>
          <r>
            <rPr>
              <rFont val="Calibri"/>
              <i val="1"/>
              <color rgb="00808080"/>
              <sz val="10"/>
            </rPr>
            <t>S55 Tyba raises $13.9M Series A to improve the profitability of ; S101 Storage optimiser Tyba raises $13.9m in Series A funding rou; E46 ERW table energy_companies; S45 Habitat Energy acquired by Quinbrook as it eyes further glob; S139 FlexGen Announces $100 Million Series C to Power | decarbonf; E47 ERW table energy_companies</t>
          </r>
        </is>
      </c>
    </row>
  </sheetData>
  <mergeCells count="3">
    <mergeCell ref="B5:I5"/>
    <mergeCell ref="B4:I4"/>
    <mergeCell ref="B10:I1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I9"/>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Incumbents</t>
        </is>
      </c>
    </row>
    <row r="2">
      <c r="B2" s="2" t="inlineStr">
        <is>
          <t>grid-scale battery storage software for merchant operators</t>
        </is>
      </c>
    </row>
    <row r="4" ht="20" customHeight="1">
      <c r="B4" s="3" t="inlineStr">
        <is>
          <t>(1) LARGE PLAYERS AND PUBLIC COMPARABLES</t>
        </is>
      </c>
    </row>
    <row r="5" ht="30" customHeight="1">
      <c r="B5" s="4" t="inlineStr">
        <is>
          <r>
            <rPr>
              <rFont val="Calibri"/>
              <b val="1"/>
              <color rgb="002E2D29"/>
              <sz val="10"/>
            </rPr>
            <t xml:space="preserve">Fact: </t>
          </r>
          <r>
            <rPr>
              <rFont val="Calibri"/>
              <color rgb="002E2D29"/>
              <sz val="10"/>
            </rPr>
            <t>The warehouse company table flags two public companies for this niche: Fluence Energy (Nasdaq: FLNC) and Stem, Inc. (NYSE: STEM).</t>
          </r>
        </is>
      </c>
    </row>
    <row r="6">
      <c r="B6" s="5" t="inlineStr">
        <is>
          <t>Name</t>
        </is>
      </c>
      <c r="C6" s="5" t="inlineStr">
        <is>
          <t>Kind</t>
        </is>
      </c>
      <c r="D6" s="5" t="inlineStr">
        <is>
          <t>Ticker</t>
        </is>
      </c>
      <c r="E6" s="5" t="inlineStr">
        <is>
          <t>Metric that matters</t>
        </is>
      </c>
      <c r="F6" s="5" t="inlineStr">
        <is>
          <t>Value</t>
        </is>
      </c>
      <c r="G6" s="5" t="inlineStr">
        <is>
          <t>As of</t>
        </is>
      </c>
      <c r="H6" s="5" t="inlineStr">
        <is>
          <t>Sources</t>
        </is>
      </c>
    </row>
    <row r="7">
      <c r="B7" s="6" t="inlineStr">
        <is>
          <t>Fluence Energy</t>
        </is>
      </c>
      <c r="C7" s="6" t="inlineStr">
        <is>
          <t>incumbent</t>
        </is>
      </c>
      <c r="D7" s="6" t="inlineStr">
        <is>
          <t>FLNC</t>
        </is>
      </c>
      <c r="E7" s="6" t="inlineStr">
        <is>
          <t>annual recurring revenue</t>
        </is>
      </c>
      <c r="F7" s="6" t="inlineStr">
        <is>
          <t>not confirmed</t>
        </is>
      </c>
      <c r="G7" s="6" t="inlineStr">
        <is>
          <t>fiscal year end 2025</t>
        </is>
      </c>
      <c r="H7" s="6" t="inlineStr">
        <is>
          <t>S17</t>
        </is>
      </c>
    </row>
    <row r="8">
      <c r="B8" s="7" t="inlineStr">
        <is>
          <t>Stem, Inc.</t>
        </is>
      </c>
      <c r="C8" s="7" t="inlineStr">
        <is>
          <t>incumbent</t>
        </is>
      </c>
      <c r="D8" s="7" t="inlineStr">
        <is>
          <t>STEM</t>
        </is>
      </c>
      <c r="E8" s="7" t="inlineStr">
        <is>
          <t>annual recurring revenue</t>
        </is>
      </c>
      <c r="F8" s="7" t="inlineStr">
        <is>
          <t>not confirmed</t>
        </is>
      </c>
      <c r="G8" s="7" t="inlineStr">
        <is>
          <t>2026 Q2</t>
        </is>
      </c>
      <c r="H8" s="7" t="inlineStr">
        <is>
          <t>S63</t>
        </is>
      </c>
    </row>
    <row r="9" ht="30" customHeight="1">
      <c r="B9" s="4" t="inlineStr">
        <is>
          <r>
            <rPr>
              <rFont val="Calibri"/>
              <b val="1"/>
              <i val="1"/>
              <color rgb="00808080"/>
              <sz val="10"/>
            </rPr>
            <t xml:space="preserve">Source(s): </t>
          </r>
          <r>
            <rPr>
              <rFont val="Calibri"/>
              <i val="1"/>
              <color rgb="00808080"/>
              <sz val="10"/>
            </rPr>
            <t>S17 Fluence Energy, Inc. Reports 2025 Financial Results and Init; S63 Stem Announces Second Quarter 2026 Results :: Stem, Inc. (ST</t>
          </r>
        </is>
      </c>
    </row>
  </sheetData>
  <mergeCells count="3">
    <mergeCell ref="B9:I9"/>
    <mergeCell ref="B5:I5"/>
    <mergeCell ref="B4:I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1:I7"/>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Policy</t>
        </is>
      </c>
    </row>
    <row r="2">
      <c r="B2" s="2" t="inlineStr">
        <is>
          <t>grid-scale battery storage software for merchant operators</t>
        </is>
      </c>
    </row>
    <row r="4" ht="20" customHeight="1">
      <c r="B4" s="3" t="inlineStr">
        <is>
          <t>(1) POLICY ACTIONS (ERW TABLES POLICY_ACTIONS AND POLICY_READS)</t>
        </is>
      </c>
    </row>
    <row r="5" ht="60" customHeight="1">
      <c r="B5" s="4" t="inlineStr">
        <is>
          <r>
            <rPr>
              <rFont val="Calibri"/>
              <b val="1"/>
              <color rgb="002E2D29"/>
              <sz val="10"/>
            </rPr>
            <t xml:space="preserve">Fact: </t>
          </r>
          <r>
            <rPr>
              <rFont val="Calibri"/>
              <color rgb="002E2D29"/>
              <sz val="10"/>
            </rPr>
            <t>Of the 36 candidate policy actions, none bears on grid-scale battery storage software for merchant operators. The nearest storage rows are FERC pumped hydro filings and gas storage filings, which the notes place out of scope. The EPA carbon rule covers fossil-fired generating units, and the notes give no link to battery bidding software. We left out the FEOC tax-credit rules: they are not in the candidate list.</t>
          </r>
        </is>
      </c>
    </row>
    <row r="6">
      <c r="B6" s="5" t="inlineStr">
        <is>
          <t>Date</t>
        </is>
      </c>
      <c r="C6" s="5" t="inlineStr">
        <is>
          <t>Agency</t>
        </is>
      </c>
      <c r="D6" s="5" t="inlineStr">
        <is>
          <t>Type</t>
        </is>
      </c>
      <c r="E6" s="5" t="inlineStr">
        <is>
          <t>Title</t>
        </is>
      </c>
      <c r="F6" s="5" t="inlineStr">
        <is>
          <t>Read (policy_reads) or why it matters</t>
        </is>
      </c>
      <c r="G6" s="5" t="inlineStr">
        <is>
          <t>Link</t>
        </is>
      </c>
    </row>
    <row r="7" ht="30" customHeight="1">
      <c r="B7" s="4" t="inlineStr">
        <is>
          <r>
            <rPr>
              <rFont val="Calibri"/>
              <b val="1"/>
              <i val="1"/>
              <color rgb="00808080"/>
              <sz val="10"/>
            </rPr>
            <t xml:space="preserve">Source(s): </t>
          </r>
          <r>
            <rPr>
              <rFont val="Calibri"/>
              <i val="1"/>
              <color rgb="00808080"/>
              <sz val="10"/>
            </rPr>
            <t>ERW tables policy_actions (Federal Register and agency news) and policy_reads (impact reads, fields kept only when their words are in the action's own text).</t>
          </r>
        </is>
      </c>
    </row>
  </sheetData>
  <mergeCells count="3">
    <mergeCell ref="B7:I7"/>
    <mergeCell ref="B5:I5"/>
    <mergeCell ref="B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1:I42"/>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Risks</t>
        </is>
      </c>
    </row>
    <row r="2">
      <c r="B2" s="2" t="inlineStr">
        <is>
          <t>grid-scale battery storage software for merchant operators</t>
        </is>
      </c>
    </row>
    <row r="4" ht="20" customHeight="1">
      <c r="B4" s="3" t="inlineStr">
        <is>
          <t>(1) MERCHANT BATTERY REVENUE IN ERCOT HAS FALLEN AS MORE BATTERIES HAVE ENTERED.</t>
        </is>
      </c>
    </row>
    <row r="5" ht="75" customHeight="1">
      <c r="B5" s="4" t="inlineStr">
        <is>
          <r>
            <rPr>
              <rFont val="Calibri"/>
              <b val="1"/>
              <color rgb="002E2D29"/>
              <sz val="10"/>
            </rPr>
            <t xml:space="preserve">Fact: </t>
          </r>
          <r>
            <rPr>
              <rFont val="Calibri"/>
              <color rgb="002E2D29"/>
              <sz val="10"/>
            </rPr>
            <t>Merchant operators are the buyers. Lower revenue per unit means less money for software and fewer fully merchant projects. Enverus says average annual BESS revenue in ERCOT fell from $149/kWh in 2023 to a projected $17/kWh for 2025 (unit as printed by the source). Estimate: 17 / 149 = 0.114, about 11% of the 2023 figure. Ancillary services fell from 84% to 48% of ERCOT BESS revenue over the same two years. Batteries set the ERCOT price in 90.7% of dispatch intervals in July 2026, up from 17.6% in January 2025 (Modo). (not confirmed: 149, 2023, 17, 2025)</t>
          </r>
        </is>
      </c>
    </row>
    <row r="6" ht="30" customHeight="1">
      <c r="B6" s="4" t="inlineStr">
        <is>
          <r>
            <rPr>
              <rFont val="Calibri"/>
              <b val="1"/>
              <color rgb="002E2D29"/>
              <sz val="10"/>
            </rPr>
            <t xml:space="preserve">Not known: </t>
          </r>
          <r>
            <rPr>
              <rFont val="Calibri"/>
              <color rgb="002E2D29"/>
              <sz val="10"/>
            </rPr>
            <t>Revenue trends outside ERCOT (CAISO, MISO, SPP, PJM, NYISO, ISO-NE) are not covered by the sources found. The notes do not state a link between falling revenue and software demand.</t>
          </r>
        </is>
      </c>
    </row>
    <row r="7" ht="30" customHeight="1">
      <c r="B7" s="4" t="inlineStr">
        <is>
          <r>
            <rPr>
              <rFont val="Calibri"/>
              <b val="1"/>
              <i val="1"/>
              <color rgb="00808080"/>
              <sz val="10"/>
            </rPr>
            <t xml:space="preserve">Source(s): </t>
          </r>
          <r>
            <rPr>
              <rFont val="Calibri"/>
              <i val="1"/>
              <color rgb="00808080"/>
              <sz val="10"/>
            </rPr>
            <t>S200 Battery energy storage revenues for ancillary services fall ; S235 RTC+B: How Real-Time Co-Optimization will affect Ancillary S</t>
          </r>
        </is>
      </c>
    </row>
    <row r="9" ht="20" customHeight="1">
      <c r="B9" s="3" t="inlineStr">
        <is>
          <t>(2) MONTHLY MERCHANT EARNINGS ARE VOLATILE.</t>
        </is>
      </c>
    </row>
    <row r="10" ht="60" customHeight="1">
      <c r="B10" s="4" t="inlineStr">
        <is>
          <r>
            <rPr>
              <rFont val="Calibri"/>
              <b val="1"/>
              <color rgb="002E2D29"/>
              <sz val="10"/>
            </rPr>
            <t xml:space="preserve">Fact: </t>
          </r>
          <r>
            <rPr>
              <rFont val="Calibri"/>
              <color rgb="002E2D29"/>
              <sz val="10"/>
            </rPr>
            <t>Modo's ERCOT index showed $46,264/MW/yr in January 2026, $15,306 in February and $38,145 in April. Modo also says ERCOT price spreads fell about 50% year-on-year by June 2026. A software customer's earnings can swing month to month, and that strains any fee tied to revenue. Modo lists harder financing among seven forces deciding ERCOT battery returns in 2026. (not confirmed: 46264, 15306, 38145, 50)</t>
          </r>
        </is>
      </c>
    </row>
    <row r="11" ht="30" customHeight="1">
      <c r="B11" s="4" t="inlineStr">
        <is>
          <r>
            <rPr>
              <rFont val="Calibri"/>
              <b val="1"/>
              <color rgb="002E2D29"/>
              <sz val="10"/>
            </rPr>
            <t xml:space="preserve">Not known: </t>
          </r>
          <r>
            <rPr>
              <rFont val="Calibri"/>
              <color rgb="002E2D29"/>
              <sz val="10"/>
            </rPr>
            <t>Software fee levels, revenue-share percentages and customer churn for optimizers are not disclosed in the sources found.</t>
          </r>
        </is>
      </c>
    </row>
    <row r="12" ht="15" customHeight="1">
      <c r="B12" s="4" t="inlineStr">
        <is>
          <r>
            <rPr>
              <rFont val="Calibri"/>
              <b val="1"/>
              <i val="1"/>
              <color rgb="00808080"/>
              <sz val="10"/>
            </rPr>
            <t xml:space="preserve">Source(s): </t>
          </r>
          <r>
            <rPr>
              <rFont val="Calibri"/>
              <i val="1"/>
              <color rgb="00808080"/>
              <sz val="10"/>
            </rPr>
            <t xml:space="preserve">S4 ERCOT battery storage in 2026: 7 things to watch - Research </t>
          </r>
        </is>
      </c>
    </row>
    <row r="14" ht="20" customHeight="1">
      <c r="B14" s="3" t="inlineStr">
        <is>
          <t>(3) HARDWARE MAKERS BUNDLE BIDDING SOFTWARE AND TAKE ON CUSTOMER PRICE RISK.</t>
        </is>
      </c>
    </row>
    <row r="15" ht="75" customHeight="1">
      <c r="B15" s="4" t="inlineStr">
        <is>
          <r>
            <rPr>
              <rFont val="Calibri"/>
              <b val="1"/>
              <color rgb="002E2D29"/>
              <sz val="10"/>
            </rPr>
            <t xml:space="preserve">Fact: </t>
          </r>
          <r>
            <rPr>
              <rFont val="Calibri"/>
              <color rgb="002E2D29"/>
              <sz val="10"/>
            </rPr>
            <t>Fluence sells Mosaic bidding software and markets it as technology-agnostic, supporting storage from any provider. Modo's directory says Fluence is extending its revenue-share model to include revenue floors. Hardware makers and independent software firms compete for the same customers. Fluence's ARR of approximately 148.0 million USD is about 6.4% of its 2.3 billion USD of fiscal 2025 revenue (estimate: 148.0 / 2,300), so software sits inside a hardware business. (not confirmed: 148.0, 6.4, 2.3, 2300)</t>
          </r>
        </is>
      </c>
    </row>
    <row r="16" ht="30" customHeight="1">
      <c r="B16" s="4" t="inlineStr">
        <is>
          <r>
            <rPr>
              <rFont val="Calibri"/>
              <b val="1"/>
              <color rgb="002E2D29"/>
              <sz val="10"/>
            </rPr>
            <t xml:space="preserve">Not known: </t>
          </r>
          <r>
            <rPr>
              <rFont val="Calibri"/>
              <color rgb="002E2D29"/>
              <sz val="10"/>
            </rPr>
            <t>Fluence's ARR covers more than bidding software, so the size of its bidding line is not disclosed. Independent optimizer revenue is not disclosed in the sources found.</t>
          </r>
        </is>
      </c>
    </row>
    <row r="17" ht="30" customHeight="1">
      <c r="B17" s="4" t="inlineStr">
        <is>
          <r>
            <rPr>
              <rFont val="Calibri"/>
              <b val="1"/>
              <i val="1"/>
              <color rgb="00808080"/>
              <sz val="10"/>
            </rPr>
            <t xml:space="preserve">Source(s): </t>
          </r>
          <r>
            <rPr>
              <rFont val="Calibri"/>
              <i val="1"/>
              <color rgb="00808080"/>
              <sz val="10"/>
            </rPr>
            <t>S1 US battery energy storage operators and optimizers - and how; S181 Mosaic Intelligent Bidding Software for Renewables and Energ; S17 Fluence Energy, Inc. Reports 2025 Financial Results and Init</t>
          </r>
        </is>
      </c>
    </row>
    <row r="19" ht="20" customHeight="1">
      <c r="B19" s="3" t="inlineStr">
        <is>
          <t>(4) MARKET RULE CHANGES FORCE REBUILDS OF BIDDING SOFTWARE.</t>
        </is>
      </c>
    </row>
    <row r="20" ht="45" customHeight="1">
      <c r="B20" s="4" t="inlineStr">
        <is>
          <r>
            <rPr>
              <rFont val="Calibri"/>
              <b val="1"/>
              <color rgb="002E2D29"/>
              <sz val="10"/>
            </rPr>
            <t xml:space="preserve">Fact: </t>
          </r>
          <r>
            <rPr>
              <rFont val="Calibri"/>
              <color rgb="002E2D29"/>
              <sz val="10"/>
            </rPr>
            <t>ERCOT's Real-Time Co-optimization plus Batteries (RTC+B) launched in December 2025. Modo says it adds flexibility coupled with more complexity. State-of-charge requirements can cut into ancillary service awards during the most lucrative hours. Bidding software must be rebuilt and retested for each market rule change. (not confirmed: 2025)</t>
          </r>
        </is>
      </c>
    </row>
    <row r="21" ht="15" customHeight="1">
      <c r="B21" s="4" t="inlineStr">
        <is>
          <r>
            <rPr>
              <rFont val="Calibri"/>
              <b val="1"/>
              <color rgb="002E2D29"/>
              <sz val="10"/>
            </rPr>
            <t xml:space="preserve">Not known: </t>
          </r>
          <r>
            <rPr>
              <rFont val="Calibri"/>
              <color rgb="002E2D29"/>
              <sz val="10"/>
            </rPr>
            <t>Whether RTC+B raises or lowers ancillary service prices: Modo says it depends on real-world operations.</t>
          </r>
        </is>
      </c>
    </row>
    <row r="22" ht="30" customHeight="1">
      <c r="B22" s="4" t="inlineStr">
        <is>
          <r>
            <rPr>
              <rFont val="Calibri"/>
              <b val="1"/>
              <i val="1"/>
              <color rgb="00808080"/>
              <sz val="10"/>
            </rPr>
            <t xml:space="preserve">Source(s): </t>
          </r>
          <r>
            <rPr>
              <rFont val="Calibri"/>
              <i val="1"/>
              <color rgb="00808080"/>
              <sz val="10"/>
            </rPr>
            <t>S235 RTC+B: How Real-Time Co-Optimization will affect Ancillary S; S236 ME BESS ERCOT February 2026: Lower spreads test battery stra; S240 ERCOT Goes Live with Real-Time Co-optimization Plus Batterie</t>
          </r>
        </is>
      </c>
    </row>
    <row r="24" ht="20" customHeight="1">
      <c r="B24" s="3" t="inlineStr">
        <is>
          <t>(5) BATTERY FIRES COULD SLOW PROJECTS AND ADD LOCAL OPPOSITION.</t>
        </is>
      </c>
    </row>
    <row r="25" ht="60" customHeight="1">
      <c r="B25" s="4" t="inlineStr">
        <is>
          <r>
            <rPr>
              <rFont val="Calibri"/>
              <b val="1"/>
              <color rgb="002E2D29"/>
              <sz val="10"/>
            </rPr>
            <t xml:space="preserve">Fact: </t>
          </r>
          <r>
            <rPr>
              <rFont val="Calibri"/>
              <color rgb="002E2D29"/>
              <sz val="10"/>
            </rPr>
            <t>A lithium battery facility at Moss Landing caught fire in January 2025, 1,200 nearby residents were evacuated and a state of emergency was declared. A new fire broke out at the same plant on 2026-09-18. CalMatters counts it as the facility's fourth safety incident since 2019. Public opposition to battery projects has grown since the 2025 fire. Local opposition can slow the projects that create software customers. (not confirmed: 2025, 1200, 2026, 9)</t>
          </r>
        </is>
      </c>
    </row>
    <row r="26" ht="30" customHeight="1">
      <c r="B26" s="4" t="inlineStr">
        <is>
          <r>
            <rPr>
              <rFont val="Calibri"/>
              <b val="1"/>
              <color rgb="002E2D29"/>
              <sz val="10"/>
            </rPr>
            <t xml:space="preserve">Not known: </t>
          </r>
          <r>
            <rPr>
              <rFont val="Calibri"/>
              <color rgb="002E2D29"/>
              <sz val="10"/>
            </rPr>
            <t>The root cause of the January 2025 fire: CalMatters reports the state investigation is ongoing, with a root cause analysis underway.</t>
          </r>
        </is>
      </c>
    </row>
    <row r="27" ht="30" customHeight="1">
      <c r="B27" s="4" t="inlineStr">
        <is>
          <r>
            <rPr>
              <rFont val="Calibri"/>
              <b val="1"/>
              <i val="1"/>
              <color rgb="00808080"/>
              <sz val="10"/>
            </rPr>
            <t xml:space="preserve">Source(s): </t>
          </r>
          <r>
            <rPr>
              <rFont val="Calibri"/>
              <i val="1"/>
              <color rgb="00808080"/>
              <sz val="10"/>
            </rPr>
            <t>S208 New fire breaks out at Moss Landing battery plant in Califor; S209 Moss Landing battery storage fire flares up again, raising n; S210 Moss Landing Power Plant Fire Sparks Shelter-in-Place Order</t>
          </r>
        </is>
      </c>
    </row>
    <row r="29" ht="20" customHeight="1">
      <c r="B29" s="3" t="inlineStr">
        <is>
          <t>(6) PROHIBITED FOREIGN ENTITY (FEOC) RULES LIMIT TAX CREDITS FOR STORAGE OWNERS.</t>
        </is>
      </c>
    </row>
    <row r="30" ht="60" customHeight="1">
      <c r="B30" s="4" t="inlineStr">
        <is>
          <r>
            <rPr>
              <rFont val="Calibri"/>
              <b val="1"/>
              <color rgb="002E2D29"/>
              <sz val="10"/>
            </rPr>
            <t xml:space="preserve">Fact: </t>
          </r>
          <r>
            <rPr>
              <rFont val="Calibri"/>
              <color rgb="002E2D29"/>
              <sz val="10"/>
            </rPr>
            <t>The One Big Beautiful Bill Act was enacted on 2025-07-04. It added FEOC restrictions that took effect on 2026-01-01, applying to the section 45Y and 48E credits and the section 45X manufacturing credits. Status can be triggered by ownership, debt holdings and covered officer appointment rights. A customer that loses a credit has less money for software. (not confirmed: 2025, 7, 4, 1)</t>
          </r>
        </is>
      </c>
    </row>
    <row r="31" ht="15" customHeight="1">
      <c r="B31" s="4" t="inlineStr">
        <is>
          <r>
            <rPr>
              <rFont val="Calibri"/>
              <b val="1"/>
              <color rgb="002E2D29"/>
              <sz val="10"/>
            </rPr>
            <t xml:space="preserve">Not known: </t>
          </r>
          <r>
            <rPr>
              <rFont val="Calibri"/>
              <color rgb="002E2D29"/>
              <sz val="10"/>
            </rPr>
            <t>How Treasury Notice 2026-15 will apply to specific storage owners and debt holders: no case-level outcomes were found.</t>
          </r>
        </is>
      </c>
    </row>
    <row r="32" ht="30" customHeight="1">
      <c r="B32" s="4" t="inlineStr">
        <is>
          <r>
            <rPr>
              <rFont val="Calibri"/>
              <b val="1"/>
              <i val="1"/>
              <color rgb="00808080"/>
              <sz val="10"/>
            </rPr>
            <t xml:space="preserve">Source(s): </t>
          </r>
          <r>
            <rPr>
              <rFont val="Calibri"/>
              <i val="1"/>
              <color rgb="00808080"/>
              <sz val="10"/>
            </rPr>
            <t>S217 New FEOC Guidance: Notice 2026-15; S218 The Prohibited Foreign Entity (Or FEOC) Rules And Battery St; S219 FEOC Rules and Energy Storage Tax Credit Eligibility</t>
          </r>
        </is>
      </c>
    </row>
    <row r="34" ht="20" customHeight="1">
      <c r="B34" s="3" t="inlineStr">
        <is>
          <t>(7) LENDERS ARE PUSHING MERCHANT STORAGE TOWARD CONTRACTED REVENUE.</t>
        </is>
      </c>
    </row>
    <row r="35" ht="75" customHeight="1">
      <c r="B35" s="4" t="inlineStr">
        <is>
          <r>
            <rPr>
              <rFont val="Calibri"/>
              <b val="1"/>
              <color rgb="002E2D29"/>
              <sz val="10"/>
            </rPr>
            <t xml:space="preserve">Fact: </t>
          </r>
          <r>
            <rPr>
              <rFont val="Calibri"/>
              <color rgb="002E2D29"/>
              <sz val="10"/>
            </rPr>
            <t>Morgan Lewis says merchant cashflows bring reduced leverage, so developers may mix contracted and merchant cashflows, and lenders may be sensitive to tightening margins as storage penetration rises, as in Texas. At a 2026 finance panel, Gresham House's finance director argued for putting part of a portfolio under a tolling agreement. A tolling agreement fixes the operator's revenue, which cuts the value of price-forecasting software to that asset. Fewer fully merchant projects means fewer merchant operators to sell to.</t>
          </r>
        </is>
      </c>
    </row>
    <row r="36" ht="15" customHeight="1">
      <c r="B36" s="4" t="inlineStr">
        <is>
          <r>
            <rPr>
              <rFont val="Calibri"/>
              <b val="1"/>
              <color rgb="002E2D29"/>
              <sz val="10"/>
            </rPr>
            <t xml:space="preserve">Not known: </t>
          </r>
          <r>
            <rPr>
              <rFont val="Calibri"/>
              <color rgb="002E2D29"/>
              <sz val="10"/>
            </rPr>
            <t>The share of US merchant storage moving to tolls or floors is not disclosed in the sources found.</t>
          </r>
        </is>
      </c>
    </row>
    <row r="37" ht="30" customHeight="1">
      <c r="B37" s="4" t="inlineStr">
        <is>
          <r>
            <rPr>
              <rFont val="Calibri"/>
              <b val="1"/>
              <i val="1"/>
              <color rgb="00808080"/>
              <sz val="10"/>
            </rPr>
            <t xml:space="preserve">Source(s): </t>
          </r>
          <r>
            <rPr>
              <rFont val="Calibri"/>
              <i val="1"/>
              <color rgb="00808080"/>
              <sz val="10"/>
            </rPr>
            <t>S226 Project Financing Trends for Global Energy Storage Projects ; S227 BBDF 2026: finance, tolling, and getting the merchant balanc</t>
          </r>
        </is>
      </c>
    </row>
    <row r="39" ht="20" customHeight="1">
      <c r="B39" s="3" t="inlineStr">
        <is>
          <t>(8) NO SIZED SOFTWARE MARKET AND THIN EVIDENCE OF SCALE OR CAPITAL IN THE NICHE.</t>
        </is>
      </c>
    </row>
    <row r="40" ht="75" customHeight="1">
      <c r="B40" s="4" t="inlineStr">
        <is>
          <r>
            <rPr>
              <rFont val="Calibri"/>
              <b val="1"/>
              <color rgb="002E2D29"/>
              <sz val="10"/>
            </rPr>
            <t xml:space="preserve">Fact: </t>
          </r>
          <r>
            <rPr>
              <rFont val="Calibri"/>
              <color rgb="002E2D29"/>
              <sz val="10"/>
            </rPr>
            <t>No source gives a software-only market size for this niche. The cloud-linked BMS optimization software market was valued at 571.2 million USD in 2025, but that is a different scope. Stem reports ARR of 62.4 million USD and contracted ARR of 69.0 million USD at 2026 Q2, a mix of software and services. Public pure-play scale in the sources is in the tens of millions of USD of ARR. The warehouse deal table holds no venture, grant, project-finance or M&amp;A event in this niche in its window, so the capital case rests on company and press sources. (not confirmed: 571.2, 62.4, 69.0)</t>
          </r>
        </is>
      </c>
    </row>
    <row r="41" ht="15" customHeight="1">
      <c r="B41" s="4" t="inlineStr">
        <is>
          <r>
            <rPr>
              <rFont val="Calibri"/>
              <b val="1"/>
              <color rgb="002E2D29"/>
              <sz val="10"/>
            </rPr>
            <t xml:space="preserve">Not known: </t>
          </r>
          <r>
            <rPr>
              <rFont val="Calibri"/>
              <color rgb="002E2D29"/>
              <sz val="10"/>
            </rPr>
            <t>A merchant-optimizer market size and software take rates are not disclosed in any source found.</t>
          </r>
        </is>
      </c>
    </row>
    <row r="42" ht="30" customHeight="1">
      <c r="B42" s="4" t="inlineStr">
        <is>
          <r>
            <rPr>
              <rFont val="Calibri"/>
              <b val="1"/>
              <i val="1"/>
              <color rgb="00808080"/>
              <sz val="10"/>
            </rPr>
            <t xml:space="preserve">Source(s): </t>
          </r>
          <r>
            <rPr>
              <rFont val="Calibri"/>
              <i val="1"/>
              <color rgb="00808080"/>
              <sz val="10"/>
            </rPr>
            <t>S78 Cloud-Linked BMS Optimization Software Market Report, 2035; S63 Stem Announces Second Quarter 2026 Results :: Stem, Inc. (ST; E32 ERW table energy_deals; E39 ERW table energy_deals</t>
          </r>
        </is>
      </c>
    </row>
  </sheetData>
  <mergeCells count="32">
    <mergeCell ref="B7:I7"/>
    <mergeCell ref="B25:I25"/>
    <mergeCell ref="B16:I16"/>
    <mergeCell ref="B22:I22"/>
    <mergeCell ref="B31:I31"/>
    <mergeCell ref="B27:I27"/>
    <mergeCell ref="B12:I12"/>
    <mergeCell ref="B21:I21"/>
    <mergeCell ref="B39:I39"/>
    <mergeCell ref="B11:I11"/>
    <mergeCell ref="B42:I42"/>
    <mergeCell ref="B14:I14"/>
    <mergeCell ref="B17:I17"/>
    <mergeCell ref="B35:I35"/>
    <mergeCell ref="B29:I29"/>
    <mergeCell ref="B34:I34"/>
    <mergeCell ref="B10:I10"/>
    <mergeCell ref="B19:I19"/>
    <mergeCell ref="B37:I37"/>
    <mergeCell ref="B40:I40"/>
    <mergeCell ref="B9:I9"/>
    <mergeCell ref="B30:I30"/>
    <mergeCell ref="B15:I15"/>
    <mergeCell ref="B6:I6"/>
    <mergeCell ref="B24:I24"/>
    <mergeCell ref="B20:I20"/>
    <mergeCell ref="B5:I5"/>
    <mergeCell ref="B36:I36"/>
    <mergeCell ref="B41:I41"/>
    <mergeCell ref="B32:I32"/>
    <mergeCell ref="B4:I4"/>
    <mergeCell ref="B26:I2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1:I311"/>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Sources</t>
        </is>
      </c>
    </row>
    <row r="2">
      <c r="B2" s="2" t="inlineStr">
        <is>
          <t>grid-scale battery storage software for merchant operators</t>
        </is>
      </c>
    </row>
    <row r="4" ht="20" customHeight="1">
      <c r="B4" s="3" t="inlineStr">
        <is>
          <t>(1) EVERY SOURCE, ITS RETRIEVAL DATE AND THE CELLS IT SUPPORTS</t>
        </is>
      </c>
    </row>
    <row r="5">
      <c r="B5" s="5" t="inlineStr">
        <is>
          <t>Id</t>
        </is>
      </c>
      <c r="C5" s="5" t="inlineStr">
        <is>
          <t>Title</t>
        </is>
      </c>
      <c r="D5" s="5" t="inlineStr">
        <is>
          <t>URL</t>
        </is>
      </c>
      <c r="E5" s="5" t="inlineStr">
        <is>
          <t>Retrieved</t>
        </is>
      </c>
      <c r="F5" s="5" t="inlineStr">
        <is>
          <t>Page age</t>
        </is>
      </c>
      <c r="G5" s="5" t="inlineStr">
        <is>
          <t>Cells it supports</t>
        </is>
      </c>
    </row>
    <row r="6">
      <c r="B6" s="6" t="inlineStr">
        <is>
          <t>S1</t>
        </is>
      </c>
      <c r="C6" s="6" t="inlineStr">
        <is>
          <t>US battery energy storage operators and optimizers - and how to contact them - Research | Modo Energy</t>
        </is>
      </c>
      <c r="D6" s="6" t="inlineStr">
        <is>
          <t>https://modoenergy.com/research/en/battery-energy-storage-optimizers-operators-usa-ercot-caiso-miso-spp-pjm-nyiso-isone-serc-wecc</t>
        </is>
      </c>
      <c r="E6" s="6" t="inlineStr">
        <is>
          <t>2026-09-28</t>
        </is>
      </c>
      <c r="F6" s="6" t="inlineStr">
        <is>
          <t>April 16, 2025</t>
        </is>
      </c>
      <c r="G6" s="6" t="inlineStr">
        <is>
          <t>'Scope'!B6; 'Scope'!B13:C13; 'Scope'!B14:C14; 'Scope'!B16; 'Fundamentals'!B17; 'Landscape'!B12:J12; 'Landscape'!B13; 'Risks'!B17</t>
        </is>
      </c>
    </row>
    <row r="7">
      <c r="B7" s="7" t="inlineStr">
        <is>
          <t>S2</t>
        </is>
      </c>
      <c r="C7" s="7" t="inlineStr">
        <is>
          <t>How does battery storage work in US electricity markets? - Research | Modo Energy</t>
        </is>
      </c>
      <c r="D7" s="7" t="inlineStr">
        <is>
          <t>https://modoenergy.com/research/en/battery-storage-us-electricity-markets</t>
        </is>
      </c>
      <c r="E7" s="7" t="inlineStr">
        <is>
          <t>2026-09-28</t>
        </is>
      </c>
      <c r="F7" s="7" t="inlineStr">
        <is>
          <t>May 30, 2026</t>
        </is>
      </c>
      <c r="G7" s="7" t="inlineStr">
        <is>
          <t>searched, not cited in a cell</t>
        </is>
      </c>
    </row>
    <row r="8">
      <c r="B8" s="6" t="inlineStr">
        <is>
          <t>S3</t>
        </is>
      </c>
      <c r="C8" s="6" t="inlineStr">
        <is>
          <t>Watch: Battery energy storage in the US - the forward outlook - Research | Modo Energy</t>
        </is>
      </c>
      <c r="D8" s="6" t="inlineStr">
        <is>
          <t>https://modoenergy.com/research/it/us-battery-storage-forward-outlook-2026-2040</t>
        </is>
      </c>
      <c r="E8" s="6" t="inlineStr">
        <is>
          <t>2026-09-28</t>
        </is>
      </c>
      <c r="F8" s="6" t="inlineStr">
        <is>
          <t>August 7, 2026</t>
        </is>
      </c>
      <c r="G8" s="6" t="inlineStr">
        <is>
          <t>searched, not cited in a cell</t>
        </is>
      </c>
    </row>
    <row r="9">
      <c r="B9" s="7" t="inlineStr">
        <is>
          <t>S4</t>
        </is>
      </c>
      <c r="C9" s="7" t="inlineStr">
        <is>
          <t>ERCOT battery storage in 2026: 7 things to watch - Research | Modo Energy</t>
        </is>
      </c>
      <c r="D9" s="7" t="inlineStr">
        <is>
          <t>https://modoenergy.com/research/en/ercot-battery-storage-2026-things-to-watch</t>
        </is>
      </c>
      <c r="E9" s="7" t="inlineStr">
        <is>
          <t>2026-09-28</t>
        </is>
      </c>
      <c r="F9" s="7" t="inlineStr">
        <is>
          <t>July 14, 2026</t>
        </is>
      </c>
      <c r="G9" s="7" t="inlineStr">
        <is>
          <t>'Risks'!B12</t>
        </is>
      </c>
    </row>
    <row r="10">
      <c r="B10" s="6" t="inlineStr">
        <is>
          <t>S5</t>
        </is>
      </c>
      <c r="C10" s="6" t="inlineStr">
        <is>
          <t>How does a battery energy storage system make money? - Research | Modo Energy</t>
        </is>
      </c>
      <c r="D10" s="6" t="inlineStr">
        <is>
          <t>https://modoenergy.com/research/en/how-does-battery-energy-storage-make-money</t>
        </is>
      </c>
      <c r="E10" s="6" t="inlineStr">
        <is>
          <t>2026-09-28</t>
        </is>
      </c>
      <c r="F10" s="6" t="inlineStr">
        <is>
          <t>May 19, 2026</t>
        </is>
      </c>
      <c r="G10" s="6" t="inlineStr">
        <is>
          <t>searched, not cited in a cell</t>
        </is>
      </c>
    </row>
    <row r="11">
      <c r="B11" s="7" t="inlineStr">
        <is>
          <t>S6</t>
        </is>
      </c>
      <c r="C11" s="7" t="inlineStr">
        <is>
          <t>ERCOT: Annual battery energy storage revenue report 2024 - Research | Modo Energy</t>
        </is>
      </c>
      <c r="D11" s="7" t="inlineStr">
        <is>
          <t>https://modoenergy.com/research/ercot-battery-energy-storage-revenues-energy-markets-ancillary-services-capacity-location-owners-operators-annual-report-2024</t>
        </is>
      </c>
      <c r="E11" s="7" t="inlineStr">
        <is>
          <t>2026-09-28</t>
        </is>
      </c>
      <c r="F11" s="7" t="inlineStr">
        <is>
          <t>March 19, 2025</t>
        </is>
      </c>
      <c r="G11" s="7" t="inlineStr">
        <is>
          <t>searched, not cited in a cell</t>
        </is>
      </c>
    </row>
    <row r="12">
      <c r="B12" s="6" t="inlineStr">
        <is>
          <t>S7</t>
        </is>
      </c>
      <c r="C12" s="6" t="inlineStr">
        <is>
          <t>ERCOT &amp; CAISO BESS: The evolving revenue stack - June 2025 - Research | Modo Energy</t>
        </is>
      </c>
      <c r="D12" s="6" t="inlineStr">
        <is>
          <t>https://modoenergy.com/research/en/ercot-caiso-june-2025-revenue-stack-batteries-bess-energy-arbitrage-nodal-price-locational-marginal-price-transmission-congestion-price-spreads</t>
        </is>
      </c>
      <c r="E12" s="6" t="inlineStr">
        <is>
          <t>2026-09-28</t>
        </is>
      </c>
      <c r="F12" s="6" t="inlineStr">
        <is>
          <t>July 11, 2025</t>
        </is>
      </c>
      <c r="G12" s="6" t="inlineStr">
        <is>
          <t>searched, not cited in a cell</t>
        </is>
      </c>
    </row>
    <row r="13">
      <c r="B13" s="7" t="inlineStr">
        <is>
          <t>S8</t>
        </is>
      </c>
      <c r="C13" s="7" t="inlineStr">
        <is>
          <t>Energy Market Intelligence for Investors | Modo Energy</t>
        </is>
      </c>
      <c r="D13" s="7" t="inlineStr">
        <is>
          <t>https://modoenergy.com/</t>
        </is>
      </c>
      <c r="E13" s="7" t="inlineStr">
        <is>
          <t>2026-09-28</t>
        </is>
      </c>
      <c r="F13" s="7" t="inlineStr"/>
      <c r="G13" s="7" t="inlineStr">
        <is>
          <t>searched, not cited in a cell</t>
        </is>
      </c>
    </row>
    <row r="14">
      <c r="B14" s="6" t="inlineStr">
        <is>
          <t>S9</t>
        </is>
      </c>
      <c r="C14" s="6" t="inlineStr">
        <is>
          <t>Bitech Technologies Corp - Form S-1/A - FY2024</t>
        </is>
      </c>
      <c r="D14" s="6" t="inlineStr">
        <is>
          <t>https://www.sec.gov/Archives/edgar/data/1066764/000149315224034772/forms-1a.htm</t>
        </is>
      </c>
      <c r="E14" s="6" t="inlineStr">
        <is>
          <t>2026-09-28</t>
        </is>
      </c>
      <c r="F14" s="6" t="inlineStr"/>
      <c r="G14" s="6" t="inlineStr">
        <is>
          <t>searched, not cited in a cell</t>
        </is>
      </c>
    </row>
    <row r="15">
      <c r="B15" s="7" t="inlineStr">
        <is>
          <t>S10</t>
        </is>
      </c>
      <c r="C15" s="7" t="inlineStr">
        <is>
          <t>Battery energy storage analytics platform Modo Energy secures $15 million - pv magazine Global</t>
        </is>
      </c>
      <c r="D15" s="7" t="inlineStr">
        <is>
          <t>https://www.pv-magazine.com/2023/12/15/battery-energy-storage-analytics-modo-energy-secures-15-million-to-expand/</t>
        </is>
      </c>
      <c r="E15" s="7" t="inlineStr">
        <is>
          <t>2026-09-28</t>
        </is>
      </c>
      <c r="F15" s="7" t="inlineStr">
        <is>
          <t>October 3, 2025</t>
        </is>
      </c>
      <c r="G15" s="7" t="inlineStr">
        <is>
          <t>'Scope'!B15:C15; 'Scope'!B16</t>
        </is>
      </c>
    </row>
    <row r="16">
      <c r="B16" s="6" t="inlineStr">
        <is>
          <t>S11</t>
        </is>
      </c>
      <c r="C16" s="6" t="inlineStr">
        <is>
          <t>Battery energy storage optimisers (in GB) - and how to contact them - Research | Modo Energy</t>
        </is>
      </c>
      <c r="D16" s="6" t="inlineStr">
        <is>
          <t>https://modoenergy.com/research/battery-energy-storage-optimizers-contact-list-gb</t>
        </is>
      </c>
      <c r="E16" s="6" t="inlineStr">
        <is>
          <t>2026-09-28</t>
        </is>
      </c>
      <c r="F16" s="6" t="inlineStr">
        <is>
          <t>December 3, 2024</t>
        </is>
      </c>
      <c r="G16" s="6" t="inlineStr">
        <is>
          <t>searched, not cited in a cell</t>
        </is>
      </c>
    </row>
    <row r="17">
      <c r="B17" s="7" t="inlineStr">
        <is>
          <t>S12</t>
        </is>
      </c>
      <c r="C17" s="7" t="inlineStr">
        <is>
          <t>Battery storage data platform Modo Energy raises $15 million to break into US, Europe</t>
        </is>
      </c>
      <c r="D17" s="7" t="inlineStr">
        <is>
          <t>https://www.renewableenergyworld.com/energy-storage/battery/battery-storage-data-platform-modo-energy-raises-15-million-to-break-into-us-europe/</t>
        </is>
      </c>
      <c r="E17" s="7" t="inlineStr">
        <is>
          <t>2026-09-28</t>
        </is>
      </c>
      <c r="F17" s="7" t="inlineStr">
        <is>
          <t>July 7, 2025</t>
        </is>
      </c>
      <c r="G17" s="7" t="inlineStr">
        <is>
          <t>'Scope'!B15:C15; 'Scope'!B16; 'Landscape'!B11:J11; 'Landscape'!B13</t>
        </is>
      </c>
    </row>
    <row r="18">
      <c r="B18" s="6" t="inlineStr">
        <is>
          <t>S13</t>
        </is>
      </c>
      <c r="C18" s="6" t="inlineStr">
        <is>
          <t>Modo Energy - USA | LinkedIn</t>
        </is>
      </c>
      <c r="D18" s="6" t="inlineStr">
        <is>
          <t>https://www.linkedin.com/company/modo-energy-usa</t>
        </is>
      </c>
      <c r="E18" s="6" t="inlineStr">
        <is>
          <t>2026-09-28</t>
        </is>
      </c>
      <c r="F18" s="6" t="inlineStr"/>
      <c r="G18" s="6" t="inlineStr">
        <is>
          <t>searched, not cited in a cell</t>
        </is>
      </c>
    </row>
    <row r="19">
      <c r="B19" s="7" t="inlineStr">
        <is>
          <t>S14</t>
        </is>
      </c>
      <c r="C19" s="7" t="inlineStr">
        <is>
          <t>Modo - Energy Storage Summit USA 2026 - Solar Media</t>
        </is>
      </c>
      <c r="D19" s="7" t="inlineStr">
        <is>
          <t>https://storageusa.solarenergyevents.com/sponsor/modo/</t>
        </is>
      </c>
      <c r="E19" s="7" t="inlineStr">
        <is>
          <t>2026-09-28</t>
        </is>
      </c>
      <c r="F19" s="7" t="inlineStr">
        <is>
          <t>February 6, 2026</t>
        </is>
      </c>
      <c r="G19" s="7" t="inlineStr">
        <is>
          <t>searched, not cited in a cell</t>
        </is>
      </c>
    </row>
    <row r="20">
      <c r="B20" s="6" t="inlineStr">
        <is>
          <t>S15</t>
        </is>
      </c>
      <c r="C20" s="6" t="inlineStr">
        <is>
          <t>Talk to Modo Energy - Pricing | Modo Energy</t>
        </is>
      </c>
      <c r="D20" s="6" t="inlineStr">
        <is>
          <t>https://modoenergy.com/contact-us</t>
        </is>
      </c>
      <c r="E20" s="6" t="inlineStr">
        <is>
          <t>2026-09-28</t>
        </is>
      </c>
      <c r="F20" s="6" t="inlineStr"/>
      <c r="G20" s="6" t="inlineStr">
        <is>
          <t>searched, not cited in a cell</t>
        </is>
      </c>
    </row>
    <row r="21">
      <c r="B21" s="7" t="inlineStr">
        <is>
          <t>S16</t>
        </is>
      </c>
      <c r="C21" s="7" t="inlineStr">
        <is>
          <t>Fluence Energy, Inc. - Form 8-K - FY2025</t>
        </is>
      </c>
      <c r="D21" s="7" t="inlineStr">
        <is>
          <t>https://www.sec.gov/Archives/edgar/data/1868941/000186894125000079/flncq4andfullfy25earningsp.htm</t>
        </is>
      </c>
      <c r="E21" s="7" t="inlineStr">
        <is>
          <t>2026-09-28</t>
        </is>
      </c>
      <c r="F21" s="7" t="inlineStr"/>
      <c r="G21" s="7" t="inlineStr">
        <is>
          <t>searched, not cited in a cell</t>
        </is>
      </c>
    </row>
    <row r="22">
      <c r="B22" s="6" t="inlineStr">
        <is>
          <t>S17</t>
        </is>
      </c>
      <c r="C22" s="6" t="inlineStr">
        <is>
          <t>Fluence Energy, Inc. Reports 2025 Financial Results and Initiates 2026 Guidance | Fluence</t>
        </is>
      </c>
      <c r="D22" s="6" t="inlineStr">
        <is>
          <t>https://ir.fluenceenergy.com/news-releases/news-release-details/fluence-energy-inc-reports-2025-financial-results-and-initiates</t>
        </is>
      </c>
      <c r="E22" s="6" t="inlineStr">
        <is>
          <t>2026-09-28</t>
        </is>
      </c>
      <c r="F22" s="6" t="inlineStr">
        <is>
          <t>November 24, 2025</t>
        </is>
      </c>
      <c r="G22" s="6" t="inlineStr">
        <is>
          <t>'Fundamentals'!B15:F15; 'Fundamentals'!B17; 'Incumbents'!B7:H7; 'Incumbents'!B9; 'Risks'!B17</t>
        </is>
      </c>
    </row>
    <row r="23">
      <c r="B23" s="7" t="inlineStr">
        <is>
          <t>S18</t>
        </is>
      </c>
      <c r="C23" s="7" t="inlineStr">
        <is>
          <t>Fluence Energy, Inc. Reports 2025 Financial Results and Initiates 2026 Guidance</t>
        </is>
      </c>
      <c r="D23" s="7" t="inlineStr">
        <is>
          <t>https://finance.yahoo.com/news/fluence-energy-inc-reports-2025-210500174.html</t>
        </is>
      </c>
      <c r="E23" s="7" t="inlineStr">
        <is>
          <t>2026-09-28</t>
        </is>
      </c>
      <c r="F23" s="7" t="inlineStr">
        <is>
          <t>November 24, 2025</t>
        </is>
      </c>
      <c r="G23" s="7" t="inlineStr">
        <is>
          <t>searched, not cited in a cell</t>
        </is>
      </c>
    </row>
    <row r="24">
      <c r="B24" s="6" t="inlineStr">
        <is>
          <t>S19</t>
        </is>
      </c>
      <c r="C24" s="6" t="inlineStr">
        <is>
          <t>Fluence Energy, Inc. Reports First Quarter 2025 Results; Lowers Full Year 2025 Guidance; Reports Record $5.1 Billion Backlog | Fluence</t>
        </is>
      </c>
      <c r="D24" s="6" t="inlineStr">
        <is>
          <t>https://ir.fluenceenergy.com/news-releases/news-release-details/fluence-energy-inc-reports-first-quarter-2025-results-lowers</t>
        </is>
      </c>
      <c r="E24" s="6" t="inlineStr">
        <is>
          <t>2026-09-28</t>
        </is>
      </c>
      <c r="F24" s="6" t="inlineStr"/>
      <c r="G24" s="6" t="inlineStr">
        <is>
          <t>searched, not cited in a cell</t>
        </is>
      </c>
    </row>
    <row r="25">
      <c r="B25" s="7" t="inlineStr">
        <is>
          <t>S20</t>
        </is>
      </c>
      <c r="C25" s="7" t="inlineStr">
        <is>
          <t>Fluence Energy, Inc. Reports Third Quarter 2025 Results; Reaffirms Fiscal Year 2025 Guidance | Fluence</t>
        </is>
      </c>
      <c r="D25" s="7" t="inlineStr">
        <is>
          <t>https://ir.fluenceenergy.com/news-releases/news-release-details/fluence-energy-inc-reports-third-quarter-2025-results-reaffirms</t>
        </is>
      </c>
      <c r="E25" s="7" t="inlineStr">
        <is>
          <t>2026-09-28</t>
        </is>
      </c>
      <c r="F25" s="7" t="inlineStr"/>
      <c r="G25" s="7" t="inlineStr">
        <is>
          <t>searched, not cited in a cell</t>
        </is>
      </c>
    </row>
    <row r="26">
      <c r="B26" s="6" t="inlineStr">
        <is>
          <t>S21</t>
        </is>
      </c>
      <c r="C26" s="6" t="inlineStr">
        <is>
          <t>Document 2 - file: flncq3fy25earningspressrel.htm</t>
        </is>
      </c>
      <c r="D26" s="6" t="inlineStr">
        <is>
          <t>https://www.sec.gov/Archives/edgar/data/1868941/000186894125000075/flncq3fy25earningspressrel.htm</t>
        </is>
      </c>
      <c r="E26" s="6" t="inlineStr">
        <is>
          <t>2026-09-28</t>
        </is>
      </c>
      <c r="F26" s="6" t="inlineStr"/>
      <c r="G26" s="6" t="inlineStr">
        <is>
          <t>searched, not cited in a cell</t>
        </is>
      </c>
    </row>
    <row r="27">
      <c r="B27" s="7" t="inlineStr">
        <is>
          <t>S22</t>
        </is>
      </c>
      <c r="C27" s="7" t="inlineStr">
        <is>
          <t>Fluence Energy, Inc. Reports Second Quarter 2025 Results; Lowers Full Year 2025 Guidance, Citing Decisions to Pause Certain U.S. Projects Due to Tarif</t>
        </is>
      </c>
      <c r="D27" s="7" t="inlineStr">
        <is>
          <t>https://ir.fluenceenergy.com/news-releases/news-release-details/fluence-energy-inc-reports-second-quarter-2025-results-lowers</t>
        </is>
      </c>
      <c r="E27" s="7" t="inlineStr">
        <is>
          <t>2026-09-28</t>
        </is>
      </c>
      <c r="F27" s="7" t="inlineStr"/>
      <c r="G27" s="7" t="inlineStr">
        <is>
          <t>searched, not cited in a cell</t>
        </is>
      </c>
    </row>
    <row r="28">
      <c r="B28" s="6" t="inlineStr">
        <is>
          <t>S23</t>
        </is>
      </c>
      <c r="C28" s="6" t="inlineStr">
        <is>
          <t>Fluence Lowers 2025 Guidance Despite Beating Revenue Estimates in Q2 - Mercom India</t>
        </is>
      </c>
      <c r="D28" s="6" t="inlineStr">
        <is>
          <t>https://www.mercomindia.com/fluence-lowers-2025-guidance</t>
        </is>
      </c>
      <c r="E28" s="6" t="inlineStr">
        <is>
          <t>2026-09-28</t>
        </is>
      </c>
      <c r="F28" s="6" t="inlineStr">
        <is>
          <t>May 13, 2025</t>
        </is>
      </c>
      <c r="G28" s="6" t="inlineStr">
        <is>
          <t>searched, not cited in a cell</t>
        </is>
      </c>
    </row>
    <row r="29">
      <c r="B29" s="7" t="inlineStr">
        <is>
          <t>S24</t>
        </is>
      </c>
      <c r="C29" s="7" t="inlineStr">
        <is>
          <t>Fluence Energy, Inc. (FLNC) 10K Annual Reports &amp; 10Q SEC Filings</t>
        </is>
      </c>
      <c r="D29" s="7" t="inlineStr">
        <is>
          <t>https://last10k.com/sec-filings/flnc</t>
        </is>
      </c>
      <c r="E29" s="7" t="inlineStr">
        <is>
          <t>2026-09-28</t>
        </is>
      </c>
      <c r="F29" s="7" t="inlineStr">
        <is>
          <t>November 25, 2025</t>
        </is>
      </c>
      <c r="G29" s="7" t="inlineStr">
        <is>
          <t>searched, not cited in a cell</t>
        </is>
      </c>
    </row>
    <row r="30">
      <c r="B30" s="6" t="inlineStr">
        <is>
          <t>S25</t>
        </is>
      </c>
      <c r="C30" s="6" t="inlineStr">
        <is>
          <t>Cost Projections for Utility-Scale Battery Storage: 2025 Update - National Laboratory of the Rockies</t>
        </is>
      </c>
      <c r="D30" s="6" t="inlineStr">
        <is>
          <t>https://research-hub.nrel.gov/en/publications/cost-projections-for-utility-scale-battery-storage-2025-update/</t>
        </is>
      </c>
      <c r="E30" s="6" t="inlineStr">
        <is>
          <t>2026-09-28</t>
        </is>
      </c>
      <c r="F30" s="6" t="inlineStr"/>
      <c r="G30" s="6" t="inlineStr">
        <is>
          <t>searched, not cited in a cell</t>
        </is>
      </c>
    </row>
    <row r="31">
      <c r="B31" s="7" t="inlineStr">
        <is>
          <t>S26</t>
        </is>
      </c>
      <c r="C31" s="7" t="inlineStr">
        <is>
          <t>2025-NREL-Cost Projections for Utility-Scale Battery Storage-2025 Update</t>
        </is>
      </c>
      <c r="D31" s="7" t="inlineStr">
        <is>
          <t>https://www.scribd.com/document/986012502/2025-NREL-Cost-Projections-for-Utility-Scale-Battery-Storage-2025-Update</t>
        </is>
      </c>
      <c r="E31" s="7" t="inlineStr">
        <is>
          <t>2026-09-28</t>
        </is>
      </c>
      <c r="F31" s="7" t="inlineStr"/>
      <c r="G31" s="7" t="inlineStr">
        <is>
          <t>searched, not cited in a cell</t>
        </is>
      </c>
    </row>
    <row r="32">
      <c r="B32" s="6" t="inlineStr">
        <is>
          <t>S27</t>
        </is>
      </c>
      <c r="C32" s="6" t="inlineStr">
        <is>
          <t>Cost Projections for Utility-Scale Battery Storage - National Laboratory of the Rockies</t>
        </is>
      </c>
      <c r="D32" s="6" t="inlineStr">
        <is>
          <t>https://research-hub.nrel.gov/en/publications/cost-projections-for-utility-scale-battery-storage/</t>
        </is>
      </c>
      <c r="E32" s="6" t="inlineStr">
        <is>
          <t>2026-09-28</t>
        </is>
      </c>
      <c r="F32" s="6" t="inlineStr"/>
      <c r="G32" s="6" t="inlineStr">
        <is>
          <t>searched, not cited in a cell</t>
        </is>
      </c>
    </row>
    <row r="33">
      <c r="B33" s="7" t="inlineStr">
        <is>
          <t>S28</t>
        </is>
      </c>
      <c r="C33" s="7" t="inlineStr">
        <is>
          <t>Cost Projections for Utility-Scale Battery Storage</t>
        </is>
      </c>
      <c r="D33" s="7" t="inlineStr">
        <is>
          <t>https://www.osti.gov/servlets/purl/1529218</t>
        </is>
      </c>
      <c r="E33" s="7" t="inlineStr">
        <is>
          <t>2026-09-28</t>
        </is>
      </c>
      <c r="F33" s="7" t="inlineStr"/>
      <c r="G33" s="7" t="inlineStr">
        <is>
          <t>searched, not cited in a cell</t>
        </is>
      </c>
    </row>
    <row r="34">
      <c r="B34" s="6" t="inlineStr">
        <is>
          <t>S29</t>
        </is>
      </c>
      <c r="C34" s="6" t="inlineStr">
        <is>
          <t>The value of storage in electricity distribution: The role of markets</t>
        </is>
      </c>
      <c r="D34" s="6" t="inlineStr">
        <is>
          <t>https://arxiv.org/pdf/2510.12435</t>
        </is>
      </c>
      <c r="E34" s="6" t="inlineStr">
        <is>
          <t>2026-09-28</t>
        </is>
      </c>
      <c r="F34" s="6" t="inlineStr"/>
      <c r="G34" s="6" t="inlineStr">
        <is>
          <t>searched, not cited in a cell</t>
        </is>
      </c>
    </row>
    <row r="35">
      <c r="B35" s="7" t="inlineStr">
        <is>
          <t>S30</t>
        </is>
      </c>
      <c r="C35" s="7" t="inlineStr">
        <is>
          <t>Utility-Scale Battery Storage | Electricity | 2024 | ATB | NLR</t>
        </is>
      </c>
      <c r="D35" s="7" t="inlineStr">
        <is>
          <t>https://atb.nrel.gov/electricity/2024/utility-scale_battery_storage</t>
        </is>
      </c>
      <c r="E35" s="7" t="inlineStr">
        <is>
          <t>2026-09-28</t>
        </is>
      </c>
      <c r="F35" s="7" t="inlineStr"/>
      <c r="G35" s="7" t="inlineStr">
        <is>
          <t>searched, not cited in a cell</t>
        </is>
      </c>
    </row>
    <row r="36">
      <c r="B36" s="6" t="inlineStr">
        <is>
          <t>S31</t>
        </is>
      </c>
      <c r="C36" s="6" t="inlineStr">
        <is>
          <t>NREL 2025 Utility-Scale Battery Costs | PDF | Electrical Engineering | Energy Technology</t>
        </is>
      </c>
      <c r="D36" s="6" t="inlineStr">
        <is>
          <t>https://www.scribd.com/document/944024891/NREL-data</t>
        </is>
      </c>
      <c r="E36" s="6" t="inlineStr">
        <is>
          <t>2026-09-28</t>
        </is>
      </c>
      <c r="F36" s="6" t="inlineStr"/>
      <c r="G36" s="6" t="inlineStr">
        <is>
          <t>searched, not cited in a cell</t>
        </is>
      </c>
    </row>
    <row r="37">
      <c r="B37" s="7" t="inlineStr">
        <is>
          <t>S32</t>
        </is>
      </c>
      <c r="C37" s="7" t="inlineStr">
        <is>
          <t>NREL report on energy storage prices: $210/kWh for utility ...</t>
        </is>
      </c>
      <c r="D37" s="7" t="inlineStr">
        <is>
          <t>https://www.linkedin.com/posts/alex-green-p-eng-9bb140166_energystorage-utilityscale-nrel-activity-7387125797217759232-hZ3G</t>
        </is>
      </c>
      <c r="E37" s="7" t="inlineStr">
        <is>
          <t>2026-09-28</t>
        </is>
      </c>
      <c r="F37" s="7" t="inlineStr"/>
      <c r="G37" s="7" t="inlineStr">
        <is>
          <t>searched, not cited in a cell</t>
        </is>
      </c>
    </row>
    <row r="38">
      <c r="B38" s="6" t="inlineStr">
        <is>
          <t>S33</t>
        </is>
      </c>
      <c r="C38" s="6" t="inlineStr">
        <is>
          <t>Appliance level battery-based energy storage</t>
        </is>
      </c>
      <c r="D38" s="6" t="inlineStr">
        <is>
          <t>https://image-ppubs.uspto.gov/dirsearch-public/print/downloadPdf/11870263</t>
        </is>
      </c>
      <c r="E38" s="6" t="inlineStr">
        <is>
          <t>2026-09-28</t>
        </is>
      </c>
      <c r="F38" s="6" t="inlineStr"/>
      <c r="G38" s="6" t="inlineStr">
        <is>
          <t>searched, not cited in a cell</t>
        </is>
      </c>
    </row>
    <row r="39">
      <c r="B39" s="7" t="inlineStr">
        <is>
          <t>S34</t>
        </is>
      </c>
      <c r="C39" s="7" t="inlineStr">
        <is>
          <t>Gridmatic launches US$50 million fund to manage BESS projects in ERCOT and CAISO</t>
        </is>
      </c>
      <c r="D39" s="7" t="inlineStr">
        <is>
          <t>https://www.energy-storage.news/gridmatic-launches-us50-million-fund-to-manage-bess-projects-in-ercot-and-caiso/</t>
        </is>
      </c>
      <c r="E39" s="7" t="inlineStr">
        <is>
          <t>2026-09-28</t>
        </is>
      </c>
      <c r="F39" s="7" t="inlineStr">
        <is>
          <t>August 10, 2023</t>
        </is>
      </c>
      <c r="G39" s="7" t="inlineStr">
        <is>
          <t>'Scope'!B6; 'Scope'!B13:C13; 'Scope'!B16; 'Landscape'!B8:J8; 'Landscape'!B13</t>
        </is>
      </c>
    </row>
    <row r="40">
      <c r="B40" s="6" t="inlineStr">
        <is>
          <t>S35</t>
        </is>
      </c>
      <c r="C40" s="6" t="inlineStr">
        <is>
          <t>Gridmatic Unveils $50 Million Dollar Energy Storage Fund</t>
        </is>
      </c>
      <c r="D40" s="6" t="inlineStr">
        <is>
          <t>https://www.renewableenergymagazine.com/storage/gridmatic-unveils-50-million-dollar-energy-storage-20230816</t>
        </is>
      </c>
      <c r="E40" s="6" t="inlineStr">
        <is>
          <t>2026-09-28</t>
        </is>
      </c>
      <c r="F40" s="6" t="inlineStr">
        <is>
          <t>August 22, 2023</t>
        </is>
      </c>
      <c r="G40" s="6" t="inlineStr">
        <is>
          <t>searched, not cited in a cell</t>
        </is>
      </c>
    </row>
    <row r="41">
      <c r="B41" s="7" t="inlineStr">
        <is>
          <t>S36</t>
        </is>
      </c>
      <c r="C41" s="7" t="inlineStr">
        <is>
          <t>Gridmatic Unveils $50 Million Dollar Energy Storage Fund, Unlocking New Investment Opportunities in the Energy Sector</t>
        </is>
      </c>
      <c r="D41" s="7" t="inlineStr">
        <is>
          <t>https://www.streetinsider.com/Business+Wire/Gridmatic+Unveils+$50+Million+Dollar+Energy+Storage+Fund,+Unlocking+New+Investment+Opportunities+in+the+Energy+Sector/22010232.html</t>
        </is>
      </c>
      <c r="E41" s="7" t="inlineStr">
        <is>
          <t>2026-09-28</t>
        </is>
      </c>
      <c r="F41" s="7" t="inlineStr"/>
      <c r="G41" s="7" t="inlineStr">
        <is>
          <t>searched, not cited in a cell</t>
        </is>
      </c>
    </row>
    <row r="42">
      <c r="B42" s="6" t="inlineStr">
        <is>
          <t>S37</t>
        </is>
      </c>
      <c r="C42" s="6" t="inlineStr">
        <is>
          <t>Gridmatic to launch its first energy storage fund | Energy Global</t>
        </is>
      </c>
      <c r="D42" s="6" t="inlineStr">
        <is>
          <t>https://www.energyglobal.com/energy-storage/09082023/gridmatic-to-launch-its-first-energy-storage-fund/</t>
        </is>
      </c>
      <c r="E42" s="6" t="inlineStr">
        <is>
          <t>2026-09-28</t>
        </is>
      </c>
      <c r="F42" s="6" t="inlineStr">
        <is>
          <t>August 9, 2023</t>
        </is>
      </c>
      <c r="G42" s="6" t="inlineStr">
        <is>
          <t>searched, not cited in a cell</t>
        </is>
      </c>
    </row>
    <row r="43">
      <c r="B43" s="7" t="inlineStr">
        <is>
          <t>S38</t>
        </is>
      </c>
      <c r="C43" s="7" t="inlineStr">
        <is>
          <t>Gridmatic Unveils $50 Million Dollar Energy Storage Fund, Unlocking New Investment Opportunities in the Energy Sector</t>
        </is>
      </c>
      <c r="D43" s="7" t="inlineStr">
        <is>
          <t>https://www.businesswire.com/news/home/20230808150528/en/Gridmatic-Unveils-$50-Million-Dollar-Energy-Storage-Fund-Unlocking-New-Investment-Opportunities-in-the-Energy-Sector</t>
        </is>
      </c>
      <c r="E43" s="7" t="inlineStr">
        <is>
          <t>2026-09-28</t>
        </is>
      </c>
      <c r="F43" s="7" t="inlineStr">
        <is>
          <t>August 8, 2023</t>
        </is>
      </c>
      <c r="G43" s="7" t="inlineStr">
        <is>
          <t>searched, not cited in a cell</t>
        </is>
      </c>
    </row>
    <row r="44">
      <c r="B44" s="6" t="inlineStr">
        <is>
          <t>S39</t>
        </is>
      </c>
      <c r="C44" s="6" t="inlineStr">
        <is>
          <t>Gridmatic: AI-Enabled Power Marketer Company Raises $50 Million</t>
        </is>
      </c>
      <c r="D44" s="6" t="inlineStr">
        <is>
          <t>https://pulse2.com/gridmatic-50-million-funding/</t>
        </is>
      </c>
      <c r="E44" s="6" t="inlineStr">
        <is>
          <t>2026-09-28</t>
        </is>
      </c>
      <c r="F44" s="6" t="inlineStr">
        <is>
          <t>December 4, 2023</t>
        </is>
      </c>
      <c r="G44" s="6" t="inlineStr">
        <is>
          <t>'Landscape'!B8:J8; 'Landscape'!B13</t>
        </is>
      </c>
    </row>
    <row r="45">
      <c r="B45" s="7" t="inlineStr">
        <is>
          <t>S40</t>
        </is>
      </c>
      <c r="C45" s="7" t="inlineStr">
        <is>
          <t>Gridmatic confirms second closing of $50m storage fund - Tamarindo</t>
        </is>
      </c>
      <c r="D45" s="7" t="inlineStr">
        <is>
          <t>https://tamarindo.global/stories/gridmatic-confirms-second-closing-of-50m-storage-fund/</t>
        </is>
      </c>
      <c r="E45" s="7" t="inlineStr">
        <is>
          <t>2026-09-28</t>
        </is>
      </c>
      <c r="F45" s="7" t="inlineStr">
        <is>
          <t>December 11, 2023</t>
        </is>
      </c>
      <c r="G45" s="7" t="inlineStr">
        <is>
          <t>searched, not cited in a cell</t>
        </is>
      </c>
    </row>
    <row r="46">
      <c r="B46" s="6" t="inlineStr">
        <is>
          <t>S41</t>
        </is>
      </c>
      <c r="C46" s="6" t="inlineStr">
        <is>
          <t>Gridmatic Closes $50 Million Energy Storage Fund, Underscoring Importance of AI to Optimizing Batteries - Gridmatic</t>
        </is>
      </c>
      <c r="D46" s="6" t="inlineStr">
        <is>
          <t>https://www.gridmatic.com/gridmatic-closes-50-million-energy-storage-fund-underscoring-importance-of-ai-to-optimizing-batteries/</t>
        </is>
      </c>
      <c r="E46" s="6" t="inlineStr">
        <is>
          <t>2026-09-28</t>
        </is>
      </c>
      <c r="F46" s="6" t="inlineStr">
        <is>
          <t>November 15, 2023</t>
        </is>
      </c>
      <c r="G46" s="6" t="inlineStr">
        <is>
          <t>searched, not cited in a cell</t>
        </is>
      </c>
    </row>
    <row r="47">
      <c r="B47" s="7" t="inlineStr">
        <is>
          <t>S42</t>
        </is>
      </c>
      <c r="C47" s="7" t="inlineStr">
        <is>
          <t>Gridmatic Surpasses 1GWh of Energy Storage Under Management and Sees Major Growth in Retail Business | Nasdaq</t>
        </is>
      </c>
      <c r="D47" s="7" t="inlineStr">
        <is>
          <t>https://www.nasdaq.com/press-release/gridmatic-surpasses-1gwh-energy-storage-under-management-and-sees-major-growth-retail</t>
        </is>
      </c>
      <c r="E47" s="7" t="inlineStr">
        <is>
          <t>2026-09-28</t>
        </is>
      </c>
      <c r="F47" s="7" t="inlineStr"/>
      <c r="G47" s="7" t="inlineStr">
        <is>
          <t>searched, not cited in a cell</t>
        </is>
      </c>
    </row>
    <row r="48">
      <c r="B48" s="6" t="inlineStr">
        <is>
          <t>S43</t>
        </is>
      </c>
      <c r="C48" s="6" t="inlineStr">
        <is>
          <t>Gridmatic Unveils $50 Million Energy Storage Fund, Unlocking New Investment Opportunities in the Energy Sector - Gridmatic</t>
        </is>
      </c>
      <c r="D48" s="6" t="inlineStr">
        <is>
          <t>https://www.gridmatic.com/gridmatic-unveils-50-million-dollar-energy-storage-fund-unlocking-new-investment-opportunities-in-the-energy-sector/</t>
        </is>
      </c>
      <c r="E48" s="6" t="inlineStr">
        <is>
          <t>2026-09-28</t>
        </is>
      </c>
      <c r="F48" s="6" t="inlineStr">
        <is>
          <t>August 18, 2023</t>
        </is>
      </c>
      <c r="G48" s="6" t="inlineStr">
        <is>
          <t>searched, not cited in a cell</t>
        </is>
      </c>
    </row>
    <row r="49">
      <c r="B49" s="7" t="inlineStr">
        <is>
          <t>S44</t>
        </is>
      </c>
      <c r="C49" s="7" t="inlineStr">
        <is>
          <t>Quinbrook's UK BESS optimiser Habitat Energy furthers US expansion with Texas deals - Energy-Storage.News</t>
        </is>
      </c>
      <c r="D49" s="7" t="inlineStr">
        <is>
          <t>https://www.energy-storage.news/quinbrooks-uk-bess-optimiser-habitat-energy-furthers-us-expansion-with-texas-deals/</t>
        </is>
      </c>
      <c r="E49" s="7" t="inlineStr">
        <is>
          <t>2026-09-28</t>
        </is>
      </c>
      <c r="F49" s="7" t="inlineStr">
        <is>
          <t>May 31, 2023</t>
        </is>
      </c>
      <c r="G49" s="7" t="inlineStr">
        <is>
          <t>searched, not cited in a cell</t>
        </is>
      </c>
    </row>
    <row r="50">
      <c r="B50" s="6" t="inlineStr">
        <is>
          <t>S45</t>
        </is>
      </c>
      <c r="C50" s="6" t="inlineStr">
        <is>
          <t>Habitat Energy acquired by Quinbrook as it eyes further global expansion - Solar Power Portals</t>
        </is>
      </c>
      <c r="D50" s="6" t="inlineStr">
        <is>
          <t>https://www.solarpowerportal.co.uk/solar-technology/habitat-energy-acquired-by-quinbrook-as-it-eyes-further-global-expansion</t>
        </is>
      </c>
      <c r="E50" s="6" t="inlineStr">
        <is>
          <t>2026-09-28</t>
        </is>
      </c>
      <c r="F50" s="6" t="inlineStr">
        <is>
          <t>July 28, 2025</t>
        </is>
      </c>
      <c r="G50" s="6" t="inlineStr">
        <is>
          <t>'Landscape'!B9:J9; 'Landscape'!B13; 'Capital'!B8:H8; 'Capital'!B10</t>
        </is>
      </c>
    </row>
    <row r="51">
      <c r="B51" s="7" t="inlineStr">
        <is>
          <t>S46</t>
        </is>
      </c>
      <c r="C51" s="7" t="inlineStr">
        <is>
          <t>Canadian Solar Invests in Strategic Partnership with AI Energy Storage Optimization Company Habitat Energy | Canadian Solar Inc.</t>
        </is>
      </c>
      <c r="D51" s="7" t="inlineStr">
        <is>
          <t>https://investors.canadiansolar.com/news-releases/news-release-details/canadian-solar-invests-strategic-partnership-ai-energy-storage</t>
        </is>
      </c>
      <c r="E51" s="7" t="inlineStr">
        <is>
          <t>2026-09-28</t>
        </is>
      </c>
      <c r="F51" s="7" t="inlineStr"/>
      <c r="G51" s="7" t="inlineStr">
        <is>
          <t>'Landscape'!B9:J9; 'Landscape'!B13</t>
        </is>
      </c>
    </row>
    <row r="52">
      <c r="B52" s="6" t="inlineStr">
        <is>
          <t>S47</t>
        </is>
      </c>
      <c r="C52" s="6" t="inlineStr">
        <is>
          <t>Habitat Energy launches US Battery storage optimization platform — Quinbrook</t>
        </is>
      </c>
      <c r="D52" s="6" t="inlineStr">
        <is>
          <t>https://www.quinbrook.com/news-insights/habitat-energy-launches-us-battery-storage-optimization-platform/</t>
        </is>
      </c>
      <c r="E52" s="6" t="inlineStr">
        <is>
          <t>2026-09-28</t>
        </is>
      </c>
      <c r="F52" s="6" t="inlineStr">
        <is>
          <t>December 22, 2025</t>
        </is>
      </c>
      <c r="G52" s="6" t="inlineStr">
        <is>
          <t>'Landscape'!B9:J9; 'Landscape'!B13</t>
        </is>
      </c>
    </row>
    <row r="53">
      <c r="B53" s="7" t="inlineStr">
        <is>
          <t>S48</t>
        </is>
      </c>
      <c r="C53" s="7" t="inlineStr">
        <is>
          <t>Quinbrook acquires Habitat Energy — Quinbrook</t>
        </is>
      </c>
      <c r="D53" s="7" t="inlineStr">
        <is>
          <t>https://www.quinbrook.com/news-insights/quinbrook-acquires-habitat-energy/</t>
        </is>
      </c>
      <c r="E53" s="7" t="inlineStr">
        <is>
          <t>2026-09-28</t>
        </is>
      </c>
      <c r="F53" s="7" t="inlineStr">
        <is>
          <t>February 4, 2026</t>
        </is>
      </c>
      <c r="G53" s="7" t="inlineStr">
        <is>
          <t>searched, not cited in a cell</t>
        </is>
      </c>
    </row>
    <row r="54">
      <c r="B54" s="6" t="inlineStr">
        <is>
          <t>S49</t>
        </is>
      </c>
      <c r="C54" s="6" t="inlineStr">
        <is>
          <t>Habitat Energy — Quinbrook</t>
        </is>
      </c>
      <c r="D54" s="6" t="inlineStr">
        <is>
          <t>https://www.quinbrook.com/portfolio/habitat-energy/</t>
        </is>
      </c>
      <c r="E54" s="6" t="inlineStr">
        <is>
          <t>2026-09-28</t>
        </is>
      </c>
      <c r="F54" s="6" t="inlineStr">
        <is>
          <t>August 29, 2025</t>
        </is>
      </c>
      <c r="G54" s="6" t="inlineStr">
        <is>
          <t>searched, not cited in a cell</t>
        </is>
      </c>
    </row>
    <row r="55">
      <c r="B55" s="7" t="inlineStr">
        <is>
          <t>S50</t>
        </is>
      </c>
      <c r="C55" s="7" t="inlineStr">
        <is>
          <t>www.businesswire.com</t>
        </is>
      </c>
      <c r="D55" s="7" t="inlineStr">
        <is>
          <t>https://www.businesswire.com/news/home/20200518005437/en</t>
        </is>
      </c>
      <c r="E55" s="7" t="inlineStr">
        <is>
          <t>2026-09-28</t>
        </is>
      </c>
      <c r="F55" s="7" t="inlineStr"/>
      <c r="G55" s="7" t="inlineStr">
        <is>
          <t>searched, not cited in a cell</t>
        </is>
      </c>
    </row>
    <row r="56">
      <c r="B56" s="6" t="inlineStr">
        <is>
          <t>S51</t>
        </is>
      </c>
      <c r="C56" s="6" t="inlineStr">
        <is>
          <t>Habitat Energy Launches US Battery Storage Optimization Platform</t>
        </is>
      </c>
      <c r="D56" s="6" t="inlineStr">
        <is>
          <t>https://www.businesswire.com/news/home/20220915005304/en/Habitat-Energy-Launches-US-Battery-Storage-Optimization-Platform</t>
        </is>
      </c>
      <c r="E56" s="6" t="inlineStr">
        <is>
          <t>2026-09-28</t>
        </is>
      </c>
      <c r="F56" s="6" t="inlineStr"/>
      <c r="G56" s="6" t="inlineStr">
        <is>
          <t>searched, not cited in a cell</t>
        </is>
      </c>
    </row>
    <row r="57">
      <c r="B57" s="7" t="inlineStr">
        <is>
          <t>S52</t>
        </is>
      </c>
      <c r="C57" s="7" t="inlineStr">
        <is>
          <t>Quinbrook Sells Flexitricity to Drax</t>
        </is>
      </c>
      <c r="D57" s="7" t="inlineStr">
        <is>
          <t>https://www.businesswire.com/news/home/20260120583182/en/Quinbrook-Sells-Flexitricity-to-Drax</t>
        </is>
      </c>
      <c r="E57" s="7" t="inlineStr">
        <is>
          <t>2026-09-28</t>
        </is>
      </c>
      <c r="F57" s="7" t="inlineStr"/>
      <c r="G57" s="7" t="inlineStr">
        <is>
          <t>searched, not cited in a cell</t>
        </is>
      </c>
    </row>
    <row r="58">
      <c r="B58" s="6" t="inlineStr">
        <is>
          <t>S53</t>
        </is>
      </c>
      <c r="C58" s="6" t="inlineStr">
        <is>
          <t>Tyba raises $13.9M Series A to improve the profitability of energy storage projects - Energy Storage</t>
        </is>
      </c>
      <c r="D58" s="6" t="inlineStr">
        <is>
          <t>https://www.ess-news.com/2025/02/18/tyba-raises-13-9m-series-a-to-improve-the-profitability-of-energy-storage-projects/</t>
        </is>
      </c>
      <c r="E58" s="6" t="inlineStr">
        <is>
          <t>2026-09-28</t>
        </is>
      </c>
      <c r="F58" s="6" t="inlineStr">
        <is>
          <t>February 18, 2025</t>
        </is>
      </c>
      <c r="G58" s="6" t="inlineStr">
        <is>
          <t>searched, not cited in a cell</t>
        </is>
      </c>
    </row>
    <row r="59">
      <c r="B59" s="7" t="inlineStr">
        <is>
          <t>S54</t>
        </is>
      </c>
      <c r="C59" s="7" t="inlineStr">
        <is>
          <t>Tyba Lands $13.9M Series A to Optimize Energy Storage Operations</t>
        </is>
      </c>
      <c r="D59" s="7" t="inlineStr">
        <is>
          <t>https://www.causeartist.com/blog/tyba-lands-13-9m-series-a-to-optimize-energy-storage-operations</t>
        </is>
      </c>
      <c r="E59" s="7" t="inlineStr">
        <is>
          <t>2026-09-28</t>
        </is>
      </c>
      <c r="F59" s="7" t="inlineStr">
        <is>
          <t>June 3, 2026</t>
        </is>
      </c>
      <c r="G59" s="7" t="inlineStr">
        <is>
          <t>searched, not cited in a cell</t>
        </is>
      </c>
    </row>
    <row r="60">
      <c r="B60" s="6" t="inlineStr">
        <is>
          <t>S55</t>
        </is>
      </c>
      <c r="C60" s="6" t="inlineStr">
        <is>
          <t>Tyba raises $13.9M Series A to improve the profitability of energy storage projects - Tyba Energy</t>
        </is>
      </c>
      <c r="D60" s="6" t="inlineStr">
        <is>
          <t>https://www.tyba.ai/series-a-fundraise-announcement/</t>
        </is>
      </c>
      <c r="E60" s="6" t="inlineStr">
        <is>
          <t>2026-09-28</t>
        </is>
      </c>
      <c r="F60" s="6" t="inlineStr">
        <is>
          <t>February 6, 2025</t>
        </is>
      </c>
      <c r="G60" s="6" t="inlineStr">
        <is>
          <t>'Landscape'!B7:J7; 'Landscape'!B13; 'Capital'!B7:H7; 'Capital'!B10</t>
        </is>
      </c>
    </row>
    <row r="61">
      <c r="B61" s="7" t="inlineStr">
        <is>
          <t>S56</t>
        </is>
      </c>
      <c r="C61" s="7" t="inlineStr">
        <is>
          <t>Tyba Raises $14 Million for Solution to Maximize Value of Energy Storage Projects - ESG Today</t>
        </is>
      </c>
      <c r="D61" s="7" t="inlineStr">
        <is>
          <t>https://www.esgtoday.com/tyba-raises-14-million-for-solution-to-maximize-value-of-energy-storage-projects/</t>
        </is>
      </c>
      <c r="E61" s="7" t="inlineStr">
        <is>
          <t>2026-09-28</t>
        </is>
      </c>
      <c r="F61" s="7" t="inlineStr">
        <is>
          <t>February 7, 2025</t>
        </is>
      </c>
      <c r="G61" s="7" t="inlineStr">
        <is>
          <t>searched, not cited in a cell</t>
        </is>
      </c>
    </row>
    <row r="62">
      <c r="B62" s="6" t="inlineStr">
        <is>
          <t>S57</t>
        </is>
      </c>
      <c r="C62" s="6" t="inlineStr">
        <is>
          <t>Tyba Raises $14 Million to Help Batteries Make Money - Heatmap News</t>
        </is>
      </c>
      <c r="D62" s="6" t="inlineStr">
        <is>
          <t>https://heatmap.news/climate-tech/tyba-series-a</t>
        </is>
      </c>
      <c r="E62" s="6" t="inlineStr">
        <is>
          <t>2026-09-28</t>
        </is>
      </c>
      <c r="F62" s="6" t="inlineStr">
        <is>
          <t>February 6, 2025</t>
        </is>
      </c>
      <c r="G62" s="6" t="inlineStr">
        <is>
          <t>'Landscape'!B7:J7; 'Landscape'!B13</t>
        </is>
      </c>
    </row>
    <row r="63">
      <c r="B63" s="7" t="inlineStr">
        <is>
          <t>S58</t>
        </is>
      </c>
      <c r="C63" s="7" t="inlineStr">
        <is>
          <t>Tyba raises $13.9M Series A to improve the profitability of energy storage projects</t>
        </is>
      </c>
      <c r="D63" s="7" t="inlineStr">
        <is>
          <t>https://www.prnewswire.com/news-releases/tyba-raises-13-9m-series-a-to-improve-the-profitability-of-energy-storage-projects-302369741.html</t>
        </is>
      </c>
      <c r="E63" s="7" t="inlineStr">
        <is>
          <t>2026-09-28</t>
        </is>
      </c>
      <c r="F63" s="7" t="inlineStr">
        <is>
          <t>February 6, 2025</t>
        </is>
      </c>
      <c r="G63" s="7" t="inlineStr">
        <is>
          <t>searched, not cited in a cell</t>
        </is>
      </c>
    </row>
    <row r="64">
      <c r="B64" s="6" t="inlineStr">
        <is>
          <t>S59</t>
        </is>
      </c>
      <c r="C64" s="6" t="inlineStr">
        <is>
          <t>Tyba Secures $13.9 Million to Boost Energy Storage Optimization</t>
        </is>
      </c>
      <c r="D64" s="6" t="inlineStr">
        <is>
          <t>https://onestopesg.com/esg-news/tyba-secures-13-9-million-to-boost-energy-storage-optimization-1739166144863</t>
        </is>
      </c>
      <c r="E64" s="6" t="inlineStr">
        <is>
          <t>2026-09-28</t>
        </is>
      </c>
      <c r="F64" s="6" t="inlineStr">
        <is>
          <t>April 18, 2026</t>
        </is>
      </c>
      <c r="G64" s="6" t="inlineStr">
        <is>
          <t>searched, not cited in a cell</t>
        </is>
      </c>
    </row>
    <row r="65">
      <c r="B65" s="7" t="inlineStr">
        <is>
          <t>S60</t>
        </is>
      </c>
      <c r="C65" s="7" t="inlineStr">
        <is>
          <t>Why we invested in Tyba</t>
        </is>
      </c>
      <c r="D65" s="7" t="inlineStr">
        <is>
          <t>https://energizecap.com/insights/why-we-invested-in-tyba</t>
        </is>
      </c>
      <c r="E65" s="7" t="inlineStr">
        <is>
          <t>2026-09-28</t>
        </is>
      </c>
      <c r="F65" s="7" t="inlineStr">
        <is>
          <t>May 20, 2026</t>
        </is>
      </c>
      <c r="G65" s="7" t="inlineStr">
        <is>
          <t>searched, not cited in a cell</t>
        </is>
      </c>
    </row>
    <row r="66">
      <c r="B66" s="6" t="inlineStr">
        <is>
          <t>S61</t>
        </is>
      </c>
      <c r="C66" s="6" t="inlineStr">
        <is>
          <t>Tyba Raises $13.9M To Help Energy Companies Maximize Battery Storage Profitability - SuperbCrew</t>
        </is>
      </c>
      <c r="D66" s="6" t="inlineStr">
        <is>
          <t>https://www.superbcrew.com/tyba-raises-13-9m-to-help-energy-companies-maximize-battery-storage-profitability/</t>
        </is>
      </c>
      <c r="E66" s="6" t="inlineStr">
        <is>
          <t>2026-09-28</t>
        </is>
      </c>
      <c r="F66" s="6" t="inlineStr">
        <is>
          <t>February 13, 2025</t>
        </is>
      </c>
      <c r="G66" s="6" t="inlineStr">
        <is>
          <t>searched, not cited in a cell</t>
        </is>
      </c>
    </row>
    <row r="67">
      <c r="B67" s="7" t="inlineStr">
        <is>
          <t>S62</t>
        </is>
      </c>
      <c r="C67" s="7" t="inlineStr">
        <is>
          <t>Stem Announces Second Quarter 2026 Results | MarketScreener</t>
        </is>
      </c>
      <c r="D67" s="7" t="inlineStr">
        <is>
          <t>https://www.marketscreener.com/news/stem-announces-second-quarter-2026-results-ce7859d8de80f225</t>
        </is>
      </c>
      <c r="E67" s="7" t="inlineStr">
        <is>
          <t>2026-09-28</t>
        </is>
      </c>
      <c r="F67" s="7" t="inlineStr">
        <is>
          <t>August 12, 2026</t>
        </is>
      </c>
      <c r="G67" s="7" t="inlineStr">
        <is>
          <t>searched, not cited in a cell</t>
        </is>
      </c>
    </row>
    <row r="68">
      <c r="B68" s="6" t="inlineStr">
        <is>
          <t>S63</t>
        </is>
      </c>
      <c r="C68" s="6" t="inlineStr">
        <is>
          <t>Stem Announces Second Quarter 2026 Results :: Stem, Inc. (STEM)</t>
        </is>
      </c>
      <c r="D68" s="6" t="inlineStr">
        <is>
          <t>https://investors.stem.com/news-events/press-releases/detail/215/stem-announces-second-quarter-2026-results</t>
        </is>
      </c>
      <c r="E68" s="6" t="inlineStr">
        <is>
          <t>2026-09-28</t>
        </is>
      </c>
      <c r="F68" s="6" t="inlineStr">
        <is>
          <t>August 12, 2026</t>
        </is>
      </c>
      <c r="G68" s="6" t="inlineStr">
        <is>
          <t>'Scope'!B12:C12; 'Scope'!B16; 'Fundamentals'!B16:F16; 'Fundamentals'!B17; 'Incumbents'!B8:H8; 'Incumbents'!B9; 'Risks'!B42</t>
        </is>
      </c>
    </row>
    <row r="69">
      <c r="B69" s="7" t="inlineStr">
        <is>
          <t>S64</t>
        </is>
      </c>
      <c r="C69" s="7" t="inlineStr">
        <is>
          <t>Stem Announces Second Quarter 2026 Results</t>
        </is>
      </c>
      <c r="D69" s="7" t="inlineStr">
        <is>
          <t>https://sg.finance.yahoo.com/news/stem-announces-second-quarter-2026-200500817.html</t>
        </is>
      </c>
      <c r="E69" s="7" t="inlineStr">
        <is>
          <t>2026-09-28</t>
        </is>
      </c>
      <c r="F69" s="7" t="inlineStr">
        <is>
          <t>August 12, 2026</t>
        </is>
      </c>
      <c r="G69" s="7" t="inlineStr">
        <is>
          <t>searched, not cited in a cell</t>
        </is>
      </c>
    </row>
    <row r="70">
      <c r="B70" s="6" t="inlineStr">
        <is>
          <t>S65</t>
        </is>
      </c>
      <c r="C70" s="6" t="inlineStr">
        <is>
          <t>Stem Announces First Quarter 2026 Results :: Stem, Inc. (STEM)</t>
        </is>
      </c>
      <c r="D70" s="6" t="inlineStr">
        <is>
          <t>https://investors.stem.com/news-events/press-releases/detail/208/stem-announces-first-quarter-2026-results</t>
        </is>
      </c>
      <c r="E70" s="6" t="inlineStr">
        <is>
          <t>2026-09-28</t>
        </is>
      </c>
      <c r="F70" s="6" t="inlineStr">
        <is>
          <t>May 6, 2026</t>
        </is>
      </c>
      <c r="G70" s="6" t="inlineStr">
        <is>
          <t>searched, not cited in a cell</t>
        </is>
      </c>
    </row>
    <row r="71">
      <c r="B71" s="7" t="inlineStr">
        <is>
          <t>S66</t>
        </is>
      </c>
      <c r="C71" s="7" t="inlineStr">
        <is>
          <t>Stem (STEM) Q1 2026 Earnings Transcript | The Motley Fool</t>
        </is>
      </c>
      <c r="D71" s="7" t="inlineStr">
        <is>
          <t>https://www.fool.com/earnings/call-transcripts/2026/05/07/stem-stem-q1-2026-earnings-transcript/</t>
        </is>
      </c>
      <c r="E71" s="7" t="inlineStr">
        <is>
          <t>2026-09-28</t>
        </is>
      </c>
      <c r="F71" s="7" t="inlineStr">
        <is>
          <t>May 7, 2026</t>
        </is>
      </c>
      <c r="G71" s="7" t="inlineStr">
        <is>
          <t>searched, not cited in a cell</t>
        </is>
      </c>
    </row>
    <row r="72">
      <c r="B72" s="6" t="inlineStr">
        <is>
          <t>S67</t>
        </is>
      </c>
      <c r="C72" s="6" t="inlineStr">
        <is>
          <t>Stem: AI Software For Solar Farms? - Green Investing</t>
        </is>
      </c>
      <c r="D72" s="6" t="inlineStr">
        <is>
          <t>https://www.greeninvesting.eco/p/stem-ai-software-for-solar-farms</t>
        </is>
      </c>
      <c r="E72" s="6" t="inlineStr">
        <is>
          <t>2026-09-28</t>
        </is>
      </c>
      <c r="F72" s="6" t="inlineStr">
        <is>
          <t>3 weeks ago</t>
        </is>
      </c>
      <c r="G72" s="6" t="inlineStr">
        <is>
          <t>searched, not cited in a cell</t>
        </is>
      </c>
    </row>
    <row r="73">
      <c r="B73" s="7" t="inlineStr">
        <is>
          <t>S68</t>
        </is>
      </c>
      <c r="C73" s="7" t="inlineStr">
        <is>
          <t>Major Energy Tech Rebrand: Stem's Athena Platform Becomes PowerTrack Optimizer, Managing 2 GWh Storage Fleet</t>
        </is>
      </c>
      <c r="D73" s="7" t="inlineStr">
        <is>
          <t>https://www.stocktitan.net/news/STEM/stem-unveils-power-track-tm-optimizer-flagship-enterprise-platform-gzgdi9znlnl7.html</t>
        </is>
      </c>
      <c r="E73" s="7" t="inlineStr">
        <is>
          <t>2026-09-28</t>
        </is>
      </c>
      <c r="F73" s="7" t="inlineStr">
        <is>
          <t>September 5, 2025</t>
        </is>
      </c>
      <c r="G73" s="7" t="inlineStr">
        <is>
          <t>searched, not cited in a cell</t>
        </is>
      </c>
    </row>
    <row r="74">
      <c r="B74" s="6" t="inlineStr">
        <is>
          <t>S69</t>
        </is>
      </c>
      <c r="C74" s="6" t="inlineStr">
        <is>
          <t>Stem details shift to AI-focused energy software | STEM SEC Filing - Form 10-K</t>
        </is>
      </c>
      <c r="D74" s="6" t="inlineStr">
        <is>
          <t>https://www.stocktitan.net/sec-filings/STEM/10-k-stem-inc-files-annual-report-5ae9e5cf0c2f.html</t>
        </is>
      </c>
      <c r="E74" s="6" t="inlineStr">
        <is>
          <t>2026-09-28</t>
        </is>
      </c>
      <c r="F74" s="6" t="inlineStr">
        <is>
          <t>March 4, 2026</t>
        </is>
      </c>
      <c r="G74" s="6" t="inlineStr">
        <is>
          <t>searched, not cited in a cell</t>
        </is>
      </c>
    </row>
    <row r="75">
      <c r="B75" s="7" t="inlineStr">
        <is>
          <t>S70</t>
        </is>
      </c>
      <c r="C75" s="7" t="inlineStr">
        <is>
          <t>2025 4 29 stem inc stock</t>
        </is>
      </c>
      <c r="D75" s="7" t="inlineStr">
        <is>
          <t>https://www.marketbeat.com/earnings/reports/2025-4-29-stem-inc-stock</t>
        </is>
      </c>
      <c r="E75" s="7" t="inlineStr">
        <is>
          <t>2026-09-28</t>
        </is>
      </c>
      <c r="F75" s="7" t="inlineStr"/>
      <c r="G75" s="7" t="inlineStr">
        <is>
          <t>searched, not cited in a cell</t>
        </is>
      </c>
    </row>
    <row r="76">
      <c r="B76" s="6" t="inlineStr">
        <is>
          <t>S71</t>
        </is>
      </c>
      <c r="C76" s="6" t="inlineStr">
        <is>
          <t>ME BESS ERCOT: Revenues to settle at $2.38/kW in November 2025 - Research | Modo Energy</t>
        </is>
      </c>
      <c r="D76" s="6" t="inlineStr">
        <is>
          <t>https://modoenergy.com/research/en/ercot-battery-revenue-benchmark-november-2025-battery-energy-storage-bess-capture-rates</t>
        </is>
      </c>
      <c r="E76" s="6" t="inlineStr">
        <is>
          <t>2026-09-28</t>
        </is>
      </c>
      <c r="F76" s="6" t="inlineStr">
        <is>
          <t>December 4, 2025</t>
        </is>
      </c>
      <c r="G76" s="6" t="inlineStr">
        <is>
          <t>searched, not cited in a cell</t>
        </is>
      </c>
    </row>
    <row r="77">
      <c r="B77" s="7" t="inlineStr">
        <is>
          <t>S72</t>
        </is>
      </c>
      <c r="C77" s="7" t="inlineStr">
        <is>
          <t>Research | Modo Energy</t>
        </is>
      </c>
      <c r="D77" s="7" t="inlineStr">
        <is>
          <t>https://modoenergy.com/research?regions=ercot&amp;technologyTypes=energy-storage</t>
        </is>
      </c>
      <c r="E77" s="7" t="inlineStr">
        <is>
          <t>2026-09-28</t>
        </is>
      </c>
      <c r="F77" s="7" t="inlineStr"/>
      <c r="G77" s="7" t="inlineStr">
        <is>
          <t>searched, not cited in a cell</t>
        </is>
      </c>
    </row>
    <row r="78">
      <c r="B78" s="6" t="inlineStr">
        <is>
          <t>S73</t>
        </is>
      </c>
      <c r="C78" s="6" t="inlineStr">
        <is>
          <t>ERCOT: April 2025 revenues expected to fall by 65% - Research | Modo Energy</t>
        </is>
      </c>
      <c r="D78" s="6" t="inlineStr">
        <is>
          <t>https://modoenergy.com/research/en/ercot-battery-energy-storage-revenue-benchmark-april-february-2025-optimizers-spreads-rabbit-hill-north-fork-engie-gridmatic</t>
        </is>
      </c>
      <c r="E78" s="6" t="inlineStr">
        <is>
          <t>2026-09-28</t>
        </is>
      </c>
      <c r="F78" s="6" t="inlineStr"/>
      <c r="G78" s="6" t="inlineStr">
        <is>
          <t>searched, not cited in a cell</t>
        </is>
      </c>
    </row>
    <row r="79">
      <c r="B79" s="7" t="inlineStr">
        <is>
          <t>S74</t>
        </is>
      </c>
      <c r="C79" s="7" t="inlineStr">
        <is>
          <t>ME BESS ERCOT: Battery revenues decline to $2/kW-month in October - Research | Modo Energy</t>
        </is>
      </c>
      <c r="D79" s="7" t="inlineStr">
        <is>
          <t>https://modoenergy.com/research/en/ercot-battery-benchmark-report-october-2025-battery-energy-storage-revenues-capture-rates</t>
        </is>
      </c>
      <c r="E79" s="7" t="inlineStr">
        <is>
          <t>2026-09-28</t>
        </is>
      </c>
      <c r="F79" s="7" t="inlineStr">
        <is>
          <t>November 6, 2025</t>
        </is>
      </c>
      <c r="G79" s="7" t="inlineStr">
        <is>
          <t>searched, not cited in a cell</t>
        </is>
      </c>
    </row>
    <row r="80">
      <c r="B80" s="6" t="inlineStr">
        <is>
          <t>S75</t>
        </is>
      </c>
      <c r="C80" s="6" t="inlineStr">
        <is>
          <t>September 2025: ERCOT revenues expected to settle at $3.16/kW-month - Research | Modo Energy</t>
        </is>
      </c>
      <c r="D80" s="6" t="inlineStr">
        <is>
          <t>https://modoenergy.com/research/en/ercot-battery-revenues-benchmark-september-2025-russek-street-hunt-energy-top-bottom-spreads-day-ahead-real-time-arbitrage</t>
        </is>
      </c>
      <c r="E80" s="6" t="inlineStr">
        <is>
          <t>2026-09-28</t>
        </is>
      </c>
      <c r="F80" s="6" t="inlineStr">
        <is>
          <t>October 1, 2025</t>
        </is>
      </c>
      <c r="G80" s="6" t="inlineStr">
        <is>
          <t>searched, not cited in a cell</t>
        </is>
      </c>
    </row>
    <row r="81">
      <c r="B81" s="7" t="inlineStr">
        <is>
          <t>S76</t>
        </is>
      </c>
      <c r="C81" s="7" t="inlineStr">
        <is>
          <t>Why were ERCOT battery revenues so low in 2025? - Research | Modo Energy</t>
        </is>
      </c>
      <c r="D81" s="7" t="inlineStr">
        <is>
          <t>https://modoenergy.com/research/en/why-were-ercot-battery-revenues-so-low-in-2025-weather-energy-arbitrage-builodout</t>
        </is>
      </c>
      <c r="E81" s="7" t="inlineStr">
        <is>
          <t>2026-09-28</t>
        </is>
      </c>
      <c r="F81" s="7" t="inlineStr">
        <is>
          <t>February 3, 2026</t>
        </is>
      </c>
      <c r="G81" s="7" t="inlineStr">
        <is>
          <t>searched, not cited in a cell</t>
        </is>
      </c>
    </row>
    <row r="82">
      <c r="B82" s="6" t="inlineStr">
        <is>
          <t>S77</t>
        </is>
      </c>
      <c r="C82" s="6" t="inlineStr">
        <is>
          <t>ERCOT: BESS revenues are down, but what could restore them? - Research | Modo Energy</t>
        </is>
      </c>
      <c r="D82" s="6" t="inlineStr">
        <is>
          <t>https://modoenergy.com/research/en/ercot-bess-revenues-outlook-load-growth-thermal-retirements-bridging-solutions</t>
        </is>
      </c>
      <c r="E82" s="6" t="inlineStr">
        <is>
          <t>2026-09-28</t>
        </is>
      </c>
      <c r="F82" s="6" t="inlineStr">
        <is>
          <t>February 4, 2026</t>
        </is>
      </c>
      <c r="G82" s="6" t="inlineStr">
        <is>
          <t>searched, not cited in a cell</t>
        </is>
      </c>
    </row>
    <row r="83">
      <c r="B83" s="7" t="inlineStr">
        <is>
          <t>S78</t>
        </is>
      </c>
      <c r="C83" s="7" t="inlineStr">
        <is>
          <t>Cloud-Linked BMS Optimization Software Market Report, 2035</t>
        </is>
      </c>
      <c r="D83" s="7" t="inlineStr">
        <is>
          <t>https://www.gminsights.com/industry-analysis/cloud-linked-battery-management-system-bms-optimization-software-market</t>
        </is>
      </c>
      <c r="E83" s="7" t="inlineStr">
        <is>
          <t>2026-09-28</t>
        </is>
      </c>
      <c r="F83" s="7" t="inlineStr">
        <is>
          <t>May 1, 2026</t>
        </is>
      </c>
      <c r="G83" s="7" t="inlineStr">
        <is>
          <t>'Risks'!B42</t>
        </is>
      </c>
    </row>
    <row r="84">
      <c r="B84" s="6" t="inlineStr">
        <is>
          <t>S79</t>
        </is>
      </c>
      <c r="C84" s="6" t="inlineStr">
        <is>
          <t>Battery storage optimization for maximum revenue | enspired</t>
        </is>
      </c>
      <c r="D84" s="6" t="inlineStr">
        <is>
          <t>https://www.enspired-trading.com/bess</t>
        </is>
      </c>
      <c r="E84" s="6" t="inlineStr">
        <is>
          <t>2026-09-28</t>
        </is>
      </c>
      <c r="F84" s="6" t="inlineStr"/>
      <c r="G84" s="6" t="inlineStr">
        <is>
          <t>searched, not cited in a cell</t>
        </is>
      </c>
    </row>
    <row r="85">
      <c r="B85" s="7" t="inlineStr">
        <is>
          <t>S80</t>
        </is>
      </c>
      <c r="C85" s="7" t="inlineStr">
        <is>
          <t>Battery Energy Storage System Market Size Report 2031</t>
        </is>
      </c>
      <c r="D85" s="7" t="inlineStr">
        <is>
          <t>https://www.mordorintelligence.com/industry-reports/battery-energy-storage-system-market</t>
        </is>
      </c>
      <c r="E85" s="7" t="inlineStr">
        <is>
          <t>2026-09-28</t>
        </is>
      </c>
      <c r="F85" s="7" t="inlineStr">
        <is>
          <t>October 31, 2019</t>
        </is>
      </c>
      <c r="G85" s="7" t="inlineStr">
        <is>
          <t>searched, not cited in a cell</t>
        </is>
      </c>
    </row>
    <row r="86">
      <c r="B86" s="6" t="inlineStr">
        <is>
          <t>S81</t>
        </is>
      </c>
      <c r="C86" s="6" t="inlineStr">
        <is>
          <t>BESS Software Market Size, Share, Trends &amp; Growth Report</t>
        </is>
      </c>
      <c r="D86" s="6" t="inlineStr">
        <is>
          <t>https://www.marketsandmarkets.com/Market-Reports/bess-software-market-37264532.html</t>
        </is>
      </c>
      <c r="E86" s="6" t="inlineStr">
        <is>
          <t>2026-09-28</t>
        </is>
      </c>
      <c r="F86" s="6" t="inlineStr"/>
      <c r="G86" s="6" t="inlineStr">
        <is>
          <t>searched, not cited in a cell</t>
        </is>
      </c>
    </row>
    <row r="87">
      <c r="B87" s="7" t="inlineStr">
        <is>
          <t>S82</t>
        </is>
      </c>
      <c r="C87" s="7" t="inlineStr">
        <is>
          <t>Battery Management Software Market Research Report 2034</t>
        </is>
      </c>
      <c r="D87" s="7" t="inlineStr">
        <is>
          <t>https://marketintelo.com/report/battery-management-software-market</t>
        </is>
      </c>
      <c r="E87" s="7" t="inlineStr">
        <is>
          <t>2026-09-28</t>
        </is>
      </c>
      <c r="F87" s="7" t="inlineStr">
        <is>
          <t>June 10, 2026</t>
        </is>
      </c>
      <c r="G87" s="7" t="inlineStr">
        <is>
          <t>searched, not cited in a cell</t>
        </is>
      </c>
    </row>
    <row r="88">
      <c r="B88" s="6" t="inlineStr">
        <is>
          <t>S83</t>
        </is>
      </c>
      <c r="C88" s="6" t="inlineStr">
        <is>
          <t>Battery Arbitrage Optimization Market Research Report 2034</t>
        </is>
      </c>
      <c r="D88" s="6" t="inlineStr">
        <is>
          <t>https://dataintelo.com/report/battery-arbitrage-optimization-market</t>
        </is>
      </c>
      <c r="E88" s="6" t="inlineStr">
        <is>
          <t>2026-09-28</t>
        </is>
      </c>
      <c r="F88" s="6" t="inlineStr">
        <is>
          <t>April 1, 2026</t>
        </is>
      </c>
      <c r="G88" s="6" t="inlineStr">
        <is>
          <t>searched, not cited in a cell</t>
        </is>
      </c>
    </row>
    <row r="89">
      <c r="B89" s="7" t="inlineStr">
        <is>
          <t>S84</t>
        </is>
      </c>
      <c r="C89" s="7" t="inlineStr">
        <is>
          <t>Battery Software: The tools empowering a growing energy storage industry</t>
        </is>
      </c>
      <c r="D89" s="7" t="inlineStr">
        <is>
          <t>https://energizecap.com/insights/battery-software-the-tools-empowering-a-growing-industry</t>
        </is>
      </c>
      <c r="E89" s="7" t="inlineStr">
        <is>
          <t>2026-09-28</t>
        </is>
      </c>
      <c r="F89" s="7" t="inlineStr">
        <is>
          <t>May 20, 2026</t>
        </is>
      </c>
      <c r="G89" s="7" t="inlineStr">
        <is>
          <t>searched, not cited in a cell</t>
        </is>
      </c>
    </row>
    <row r="90">
      <c r="B90" s="6" t="inlineStr">
        <is>
          <t>S85</t>
        </is>
      </c>
      <c r="C90" s="6" t="inlineStr">
        <is>
          <t>Battery Storage Optimization: Value Stacking Explained</t>
        </is>
      </c>
      <c r="D90" s="6" t="inlineStr">
        <is>
          <t>https://flex-power.energy/energyblog/battery-storage-trading-strategy/</t>
        </is>
      </c>
      <c r="E90" s="6" t="inlineStr">
        <is>
          <t>2026-09-28</t>
        </is>
      </c>
      <c r="F90" s="6" t="inlineStr">
        <is>
          <t>March 27, 2026</t>
        </is>
      </c>
      <c r="G90" s="6" t="inlineStr">
        <is>
          <t>searched, not cited in a cell</t>
        </is>
      </c>
    </row>
    <row r="91">
      <c r="B91" s="7" t="inlineStr">
        <is>
          <t>S86</t>
        </is>
      </c>
      <c r="C91" s="7" t="inlineStr">
        <is>
          <t>Quinbrook acquires UK battery storage optimisation and trading specialist Habitat Energy - Energy-Storage.News</t>
        </is>
      </c>
      <c r="D91" s="7" t="inlineStr">
        <is>
          <t>https://www.energy-storage.news/quinbrook-acquires-uk-battery-storage-optimisation-and-trading-specialist-habitat-energy/</t>
        </is>
      </c>
      <c r="E91" s="7" t="inlineStr">
        <is>
          <t>2026-09-28</t>
        </is>
      </c>
      <c r="F91" s="7" t="inlineStr">
        <is>
          <t>May 31, 2023</t>
        </is>
      </c>
      <c r="G91" s="7" t="inlineStr">
        <is>
          <t>searched, not cited in a cell</t>
        </is>
      </c>
    </row>
    <row r="92">
      <c r="B92" s="6" t="inlineStr">
        <is>
          <t>S87</t>
        </is>
      </c>
      <c r="C92" s="6" t="inlineStr">
        <is>
          <t>Habitat Energy 2026 Company Profile: Valuation, Funding &amp; Investors | PitchBook</t>
        </is>
      </c>
      <c r="D92" s="6" t="inlineStr">
        <is>
          <t>https://pitchbook.com/profiles/company/436154-77</t>
        </is>
      </c>
      <c r="E92" s="6" t="inlineStr">
        <is>
          <t>2026-09-28</t>
        </is>
      </c>
      <c r="F92" s="6" t="inlineStr"/>
      <c r="G92" s="6" t="inlineStr">
        <is>
          <t>searched, not cited in a cell</t>
        </is>
      </c>
    </row>
    <row r="93">
      <c r="B93" s="7" t="inlineStr">
        <is>
          <t>S88</t>
        </is>
      </c>
      <c r="C93" s="7" t="inlineStr">
        <is>
          <t>Habitat Energy | Quinbrook</t>
        </is>
      </c>
      <c r="D93" s="7" t="inlineStr">
        <is>
          <t>https://www.quinbrook.com/portfolio-companies/habitat-energy/</t>
        </is>
      </c>
      <c r="E93" s="7" t="inlineStr">
        <is>
          <t>2026-09-28</t>
        </is>
      </c>
      <c r="F93" s="7" t="inlineStr">
        <is>
          <t>June 28, 2024</t>
        </is>
      </c>
      <c r="G93" s="7" t="inlineStr">
        <is>
          <t>searched, not cited in a cell</t>
        </is>
      </c>
    </row>
    <row r="94">
      <c r="B94" s="6" t="inlineStr">
        <is>
          <t>S89</t>
        </is>
      </c>
      <c r="C94" s="6" t="inlineStr">
        <is>
          <t>Habitat Energy acquired by Quinbrook Infrastructure Partners - Habitat Energy</t>
        </is>
      </c>
      <c r="D94" s="6" t="inlineStr">
        <is>
          <t>https://habitat.energy/habitat-energy-acquired-by-quinbrook-infrastructure-partners/</t>
        </is>
      </c>
      <c r="E94" s="6" t="inlineStr">
        <is>
          <t>2026-09-28</t>
        </is>
      </c>
      <c r="F94" s="6" t="inlineStr">
        <is>
          <t>October 17, 2024</t>
        </is>
      </c>
      <c r="G94" s="6" t="inlineStr">
        <is>
          <t>searched, not cited in a cell</t>
        </is>
      </c>
    </row>
    <row r="95">
      <c r="B95" s="7" t="inlineStr">
        <is>
          <t>S90</t>
        </is>
      </c>
      <c r="C95" s="7" t="inlineStr">
        <is>
          <t>habitat energy</t>
        </is>
      </c>
      <c r="D95" s="7" t="inlineStr">
        <is>
          <t>https://www.cbinsights.com/company/habitat-energy</t>
        </is>
      </c>
      <c r="E95" s="7" t="inlineStr">
        <is>
          <t>2026-09-28</t>
        </is>
      </c>
      <c r="F95" s="7" t="inlineStr"/>
      <c r="G95" s="7" t="inlineStr">
        <is>
          <t>searched, not cited in a cell</t>
        </is>
      </c>
    </row>
    <row r="96">
      <c r="B96" s="6" t="inlineStr">
        <is>
          <t>S91</t>
        </is>
      </c>
      <c r="C96" s="6" t="inlineStr">
        <is>
          <t>Habitat Energy signs partnership for major expansion into US market - Solar Power Portal</t>
        </is>
      </c>
      <c r="D96" s="6" t="inlineStr">
        <is>
          <t>https://www.solarpowerportal.co.uk/battery-storage/habitat-energy-signs-partnership-for-major-expansion-into-us-market</t>
        </is>
      </c>
      <c r="E96" s="6" t="inlineStr">
        <is>
          <t>2026-09-28</t>
        </is>
      </c>
      <c r="F96" s="6" t="inlineStr">
        <is>
          <t>July 28, 2025</t>
        </is>
      </c>
      <c r="G96" s="6" t="inlineStr">
        <is>
          <t>searched, not cited in a cell</t>
        </is>
      </c>
    </row>
    <row r="97">
      <c r="B97" s="7" t="inlineStr">
        <is>
          <t>S92</t>
        </is>
      </c>
      <c r="C97" s="7" t="inlineStr">
        <is>
          <t>Canadian Solar invests in battery storage software company Habitat Energy - PV Tech</t>
        </is>
      </c>
      <c r="D97" s="7" t="inlineStr">
        <is>
          <t>https://www.pv-tech.org/canadian-solar-invests-in-battery-storage-software-company-habitat-energy/</t>
        </is>
      </c>
      <c r="E97" s="7" t="inlineStr">
        <is>
          <t>2026-09-28</t>
        </is>
      </c>
      <c r="F97" s="7" t="inlineStr">
        <is>
          <t>August 20, 2021</t>
        </is>
      </c>
      <c r="G97" s="7" t="inlineStr">
        <is>
          <t>searched, not cited in a cell</t>
        </is>
      </c>
    </row>
    <row r="98">
      <c r="B98" s="6" t="inlineStr">
        <is>
          <t>S93</t>
        </is>
      </c>
      <c r="C98" s="6" t="inlineStr">
        <is>
          <t>Canadian Solar and Habitat Energy form strategic partnership | Energy Global</t>
        </is>
      </c>
      <c r="D98" s="6" t="inlineStr">
        <is>
          <t>https://www.energyglobal.com/energy-storage/14052021/canadian-solar-and-habitat-energy-form-strategic-partnership/</t>
        </is>
      </c>
      <c r="E98" s="6" t="inlineStr">
        <is>
          <t>2026-09-28</t>
        </is>
      </c>
      <c r="F98" s="6" t="inlineStr">
        <is>
          <t>May 14, 2021</t>
        </is>
      </c>
      <c r="G98" s="6" t="inlineStr">
        <is>
          <t>searched, not cited in a cell</t>
        </is>
      </c>
    </row>
    <row r="99">
      <c r="B99" s="7" t="inlineStr">
        <is>
          <t>S94</t>
        </is>
      </c>
      <c r="C99" s="7" t="inlineStr">
        <is>
          <t>Canadian Solar (CSIQ) Invests in Strategic Partnership with AI Energy Storage Optimization Company Habitat Energy</t>
        </is>
      </c>
      <c r="D99" s="7" t="inlineStr">
        <is>
          <t>https://www.streetinsider.com/Corporate+News/Canadian+Solar+(CSIQ)+Invests+in+Strategic+Partnership+with+AI+Energy+Storage+Optimization+Company+Habitat+Energy/18412650.html</t>
        </is>
      </c>
      <c r="E99" s="7" t="inlineStr">
        <is>
          <t>2026-09-28</t>
        </is>
      </c>
      <c r="F99" s="7" t="inlineStr">
        <is>
          <t>May 13, 2021</t>
        </is>
      </c>
      <c r="G99" s="7" t="inlineStr">
        <is>
          <t>searched, not cited in a cell</t>
        </is>
      </c>
    </row>
    <row r="100">
      <c r="B100" s="6" t="inlineStr">
        <is>
          <t>S95</t>
        </is>
      </c>
      <c r="C100" s="6" t="inlineStr">
        <is>
          <t>Canadian Solar Partners with AI Energy Storage Optimisation Firm Habitat Energy</t>
        </is>
      </c>
      <c r="D100" s="6" t="inlineStr">
        <is>
          <t>https://www.saurenergy.com/solar-energy-news/canadian-solar-partners-with-ai-energy-storage-optimisation-firm-habitat-energy</t>
        </is>
      </c>
      <c r="E100" s="6" t="inlineStr">
        <is>
          <t>2026-09-28</t>
        </is>
      </c>
      <c r="F100" s="6" t="inlineStr">
        <is>
          <t>May 14, 2021</t>
        </is>
      </c>
      <c r="G100" s="6" t="inlineStr">
        <is>
          <t>searched, not cited in a cell</t>
        </is>
      </c>
    </row>
    <row r="101">
      <c r="B101" s="7" t="inlineStr">
        <is>
          <t>S96</t>
        </is>
      </c>
      <c r="C101" s="7" t="inlineStr">
        <is>
          <t>Canadian Solar Invests in Strategic Partnership with Habitat Energy</t>
        </is>
      </c>
      <c r="D101" s="7" t="inlineStr">
        <is>
          <t>https://www.enfsolar.com/news/17589/canadian-solar-invests-in-strategic-partnership-with-habitat-energy</t>
        </is>
      </c>
      <c r="E101" s="7" t="inlineStr">
        <is>
          <t>2026-09-28</t>
        </is>
      </c>
      <c r="F101" s="7" t="inlineStr"/>
      <c r="G101" s="7" t="inlineStr">
        <is>
          <t>searched, not cited in a cell</t>
        </is>
      </c>
    </row>
    <row r="102">
      <c r="B102" s="6" t="inlineStr">
        <is>
          <t>S97</t>
        </is>
      </c>
      <c r="C102" s="6" t="inlineStr">
        <is>
          <t>Canadian Solar Invests in Strategic Partnership with AI Energy Storage Optimization Company Habitat Energy</t>
        </is>
      </c>
      <c r="D102" s="6" t="inlineStr">
        <is>
          <t>https://www.prnewswire.com/news-releases/canadian-solar-invests-in-strategic-partnership-with-ai-energy-storage-optimization-company-habitat-energy-301290585.html</t>
        </is>
      </c>
      <c r="E102" s="6" t="inlineStr">
        <is>
          <t>2026-09-28</t>
        </is>
      </c>
      <c r="F102" s="6" t="inlineStr">
        <is>
          <t>May 13, 2021</t>
        </is>
      </c>
      <c r="G102" s="6" t="inlineStr">
        <is>
          <t>searched, not cited in a cell</t>
        </is>
      </c>
    </row>
    <row r="103">
      <c r="B103" s="7" t="inlineStr">
        <is>
          <t>S98</t>
        </is>
      </c>
      <c r="C103" s="7" t="inlineStr">
        <is>
          <t>Canadian Solar Invests in Strategic Partnership with AI Energy Storage Optimization Company Habitat Energy – PVTIME</t>
        </is>
      </c>
      <c r="D103" s="7" t="inlineStr">
        <is>
          <t>https://www.pvtime.org/canadian-solar-invests-in-strategic-partnership-with-ai-energy-storage-optimization-company-habitat-energy/</t>
        </is>
      </c>
      <c r="E103" s="7" t="inlineStr">
        <is>
          <t>2026-09-28</t>
        </is>
      </c>
      <c r="F103" s="7" t="inlineStr"/>
      <c r="G103" s="7" t="inlineStr">
        <is>
          <t>searched, not cited in a cell</t>
        </is>
      </c>
    </row>
    <row r="104">
      <c r="B104" s="6" t="inlineStr">
        <is>
          <t>S99</t>
        </is>
      </c>
      <c r="C104" s="6" t="inlineStr">
        <is>
          <t>Canadian Solar Invests in Strategic Partnership with AI Energy Storage Optimization Company Habitat Energy | Energy Central</t>
        </is>
      </c>
      <c r="D104" s="6" t="inlineStr">
        <is>
          <t>https://energycentral.com/news/canadian-solar-invests-strategic-partnership-ai-energy-storage-optimization-company-habitat</t>
        </is>
      </c>
      <c r="E104" s="6" t="inlineStr">
        <is>
          <t>2026-09-28</t>
        </is>
      </c>
      <c r="F104" s="6" t="inlineStr">
        <is>
          <t>May 13, 2021</t>
        </is>
      </c>
      <c r="G104" s="6" t="inlineStr">
        <is>
          <t>searched, not cited in a cell</t>
        </is>
      </c>
    </row>
    <row r="105">
      <c r="B105" s="7" t="inlineStr">
        <is>
          <t>S100</t>
        </is>
      </c>
      <c r="C105" s="7" t="inlineStr">
        <is>
          <t>Energy Storage Solutions Provider Tyba Raises $13.9 Million - Mercom Capital Group</t>
        </is>
      </c>
      <c r="D105" s="7" t="inlineStr">
        <is>
          <t>https://mercomcapital.com/energy-storage-solutions-provider-tyba-raises-13-9-million/</t>
        </is>
      </c>
      <c r="E105" s="7" t="inlineStr">
        <is>
          <t>2026-09-28</t>
        </is>
      </c>
      <c r="F105" s="7" t="inlineStr">
        <is>
          <t>February 7, 2025</t>
        </is>
      </c>
      <c r="G105" s="7" t="inlineStr">
        <is>
          <t>searched, not cited in a cell</t>
        </is>
      </c>
    </row>
    <row r="106">
      <c r="B106" s="6" t="inlineStr">
        <is>
          <t>S101</t>
        </is>
      </c>
      <c r="C106" s="6" t="inlineStr">
        <is>
          <t>Storage optimiser Tyba raises $13.9m in Series A funding round - Tamarindo</t>
        </is>
      </c>
      <c r="D106" s="6" t="inlineStr">
        <is>
          <t>https://tamarindo.global/stories/storage-optimiser-tyba-raises-13-9m-in-series-a-funding-round/</t>
        </is>
      </c>
      <c r="E106" s="6" t="inlineStr">
        <is>
          <t>2026-09-28</t>
        </is>
      </c>
      <c r="F106" s="6" t="inlineStr">
        <is>
          <t>February 10, 2025</t>
        </is>
      </c>
      <c r="G106" s="6" t="inlineStr">
        <is>
          <t>'Capital'!B7:H7; 'Capital'!B10</t>
        </is>
      </c>
    </row>
    <row r="107">
      <c r="B107" s="7" t="inlineStr">
        <is>
          <t>S102</t>
        </is>
      </c>
      <c r="C107" s="7" t="inlineStr">
        <is>
          <t>[Energy Storage Report] Storage optimiser Tyba raises $13.9m in Series A funding round - Tyba Energy</t>
        </is>
      </c>
      <c r="D107" s="7" t="inlineStr">
        <is>
          <t>https://www.tyba.ai/energy-storage-report-storage-optimiser-tyba-raises/</t>
        </is>
      </c>
      <c r="E107" s="7" t="inlineStr">
        <is>
          <t>2026-09-28</t>
        </is>
      </c>
      <c r="F107" s="7" t="inlineStr">
        <is>
          <t>March 19, 2025</t>
        </is>
      </c>
      <c r="G107" s="7" t="inlineStr">
        <is>
          <t>searched, not cited in a cell</t>
        </is>
      </c>
    </row>
    <row r="108">
      <c r="B108" s="6" t="inlineStr">
        <is>
          <t>S103</t>
        </is>
      </c>
      <c r="C108" s="6" t="inlineStr">
        <is>
          <t>[Heatmap] Tyba Raises $14 Million to Help Batteries Make Money - Tyba Energy</t>
        </is>
      </c>
      <c r="D108" s="6" t="inlineStr">
        <is>
          <t>https://www.tyba.ai/tyba-raises-13-9m-series-a-to-help-batteries-make-money/</t>
        </is>
      </c>
      <c r="E108" s="6" t="inlineStr">
        <is>
          <t>2026-09-28</t>
        </is>
      </c>
      <c r="F108" s="6" t="inlineStr">
        <is>
          <t>February 27, 2025</t>
        </is>
      </c>
      <c r="G108" s="6" t="inlineStr">
        <is>
          <t>searched, not cited in a cell</t>
        </is>
      </c>
    </row>
    <row r="109">
      <c r="B109" s="7" t="inlineStr">
        <is>
          <t>S104</t>
        </is>
      </c>
      <c r="C109" s="7" t="inlineStr">
        <is>
          <t>[Energy Storage News] BESS optimiser Tyba raises US$13.9 million in Series A - Tyba Energy</t>
        </is>
      </c>
      <c r="D109" s="7" t="inlineStr">
        <is>
          <t>https://www.tyba.ai/energy-storage-news-bess-optimiser-tyba-raises-us13-9-million-in-series-a/</t>
        </is>
      </c>
      <c r="E109" s="7" t="inlineStr">
        <is>
          <t>2026-09-28</t>
        </is>
      </c>
      <c r="F109" s="7" t="inlineStr">
        <is>
          <t>February 27, 2025</t>
        </is>
      </c>
      <c r="G109" s="7" t="inlineStr">
        <is>
          <t>searched, not cited in a cell</t>
        </is>
      </c>
    </row>
    <row r="110">
      <c r="B110" s="6" t="inlineStr">
        <is>
          <t>S105</t>
        </is>
      </c>
      <c r="C110" s="6" t="inlineStr">
        <is>
          <t>David Miller on LinkedIn: Gridmatic Closes $50 Million Energy Storage Fund, Underscoring Importance…</t>
        </is>
      </c>
      <c r="D110" s="6" t="inlineStr">
        <is>
          <t>https://www.linkedin.com/posts/profiledavidwmiller_gridmatic-closes-50-million-energy-storage-activity-7130576905665200128-hK87?trk=public_profile_like_view</t>
        </is>
      </c>
      <c r="E110" s="6" t="inlineStr">
        <is>
          <t>2026-09-28</t>
        </is>
      </c>
      <c r="F110" s="6" t="inlineStr">
        <is>
          <t>November 15, 2023</t>
        </is>
      </c>
      <c r="G110" s="6" t="inlineStr">
        <is>
          <t>searched, not cited in a cell</t>
        </is>
      </c>
    </row>
    <row r="111">
      <c r="B111" s="7" t="inlineStr">
        <is>
          <t>S106</t>
        </is>
      </c>
      <c r="C111" s="7" t="inlineStr">
        <is>
          <t>Gridmatic Closes $50 Million Energy Storage Fund, Underscoring Importance of AI to Optimizing Batteries - Gridmatic | Matt Wytock</t>
        </is>
      </c>
      <c r="D111" s="7" t="inlineStr">
        <is>
          <t>https://www.linkedin.com/posts/mwytock_gridmatic-closes-50-million-energy-storage-activity-7130591294782926849-VfsD</t>
        </is>
      </c>
      <c r="E111" s="7" t="inlineStr">
        <is>
          <t>2026-09-28</t>
        </is>
      </c>
      <c r="F111" s="7" t="inlineStr">
        <is>
          <t>November 15, 2023</t>
        </is>
      </c>
      <c r="G111" s="7" t="inlineStr">
        <is>
          <t>searched, not cited in a cell</t>
        </is>
      </c>
    </row>
    <row r="112">
      <c r="B112" s="6" t="inlineStr">
        <is>
          <t>S107</t>
        </is>
      </c>
      <c r="C112" s="6" t="inlineStr">
        <is>
          <t>Gridmatic Portfolio Investments, Gridmatic Funds, Gridmatic Exits</t>
        </is>
      </c>
      <c r="D112" s="6" t="inlineStr">
        <is>
          <t>https://www.cbinsights.com/investor/gridmatic</t>
        </is>
      </c>
      <c r="E112" s="6" t="inlineStr">
        <is>
          <t>2026-09-28</t>
        </is>
      </c>
      <c r="F112" s="6" t="inlineStr"/>
      <c r="G112" s="6" t="inlineStr">
        <is>
          <t>searched, not cited in a cell</t>
        </is>
      </c>
    </row>
    <row r="113">
      <c r="B113" s="7" t="inlineStr">
        <is>
          <t>S108</t>
        </is>
      </c>
      <c r="C113" s="7" t="inlineStr">
        <is>
          <t>Gridmatic Closes $50 Million Energy Storage Fund, Underscoring Importance of AI to Optimizing Batteries - Batteries News</t>
        </is>
      </c>
      <c r="D113" s="7" t="inlineStr">
        <is>
          <t>https://batteriesnews.com/gridmatic-closes-50-million-energy-storage-fund-underscoring-importance-of-ai-to-optimizing-batteries/</t>
        </is>
      </c>
      <c r="E113" s="7" t="inlineStr">
        <is>
          <t>2026-09-28</t>
        </is>
      </c>
      <c r="F113" s="7" t="inlineStr">
        <is>
          <t>November 15, 2023</t>
        </is>
      </c>
      <c r="G113" s="7" t="inlineStr">
        <is>
          <t>searched, not cited in a cell</t>
        </is>
      </c>
    </row>
    <row r="114">
      <c r="B114" s="6" t="inlineStr">
        <is>
          <t>S109</t>
        </is>
      </c>
      <c r="C114" s="6" t="inlineStr">
        <is>
          <t>Amperon: AI-Powered Electricity Forecast Company Raises $20 Million</t>
        </is>
      </c>
      <c r="D114" s="6" t="inlineStr">
        <is>
          <t>https://pulse2.com/amperon-20-million-funding/</t>
        </is>
      </c>
      <c r="E114" s="6" t="inlineStr">
        <is>
          <t>2026-09-28</t>
        </is>
      </c>
      <c r="F114" s="6" t="inlineStr">
        <is>
          <t>October 11, 2023</t>
        </is>
      </c>
      <c r="G114" s="6" t="inlineStr">
        <is>
          <t>searched, not cited in a cell</t>
        </is>
      </c>
    </row>
    <row r="115">
      <c r="B115" s="7" t="inlineStr">
        <is>
          <t>S110</t>
        </is>
      </c>
      <c r="C115" s="7" t="inlineStr">
        <is>
          <t>Amperon secures $20M series B, plans to expand platform - InnovationMap</t>
        </is>
      </c>
      <c r="D115" s="7" t="inlineStr">
        <is>
          <t>https://houston.innovationmap.com/amperon-series-b-energize-capital-2665788414.html</t>
        </is>
      </c>
      <c r="E115" s="7" t="inlineStr">
        <is>
          <t>2026-09-28</t>
        </is>
      </c>
      <c r="F115" s="7" t="inlineStr">
        <is>
          <t>October 4, 2023</t>
        </is>
      </c>
      <c r="G115" s="7" t="inlineStr">
        <is>
          <t>searched, not cited in a cell</t>
        </is>
      </c>
    </row>
    <row r="116">
      <c r="B116" s="6" t="inlineStr">
        <is>
          <t>S111</t>
        </is>
      </c>
      <c r="C116" s="6" t="inlineStr">
        <is>
          <t>Energy Analytics Startup Amperon Raises $20 Million - ESG Today</t>
        </is>
      </c>
      <c r="D116" s="6" t="inlineStr">
        <is>
          <t>https://www.esgtoday.com/energy-analytics-startup-amperon-raises-20-million/</t>
        </is>
      </c>
      <c r="E116" s="6" t="inlineStr">
        <is>
          <t>2026-09-28</t>
        </is>
      </c>
      <c r="F116" s="6" t="inlineStr">
        <is>
          <t>October 4, 2023</t>
        </is>
      </c>
      <c r="G116" s="6" t="inlineStr">
        <is>
          <t>searched, not cited in a cell</t>
        </is>
      </c>
    </row>
    <row r="117">
      <c r="B117" s="7" t="inlineStr">
        <is>
          <t>S112</t>
        </is>
      </c>
      <c r="C117" s="7" t="inlineStr">
        <is>
          <t>Amperon Raises $20 Million Series B Led by Energize Capital</t>
        </is>
      </c>
      <c r="D117" s="7" t="inlineStr">
        <is>
          <t>https://www.amperon.co/blog/amperon-raises-20-million-series-b-led-by-energize-capital</t>
        </is>
      </c>
      <c r="E117" s="7" t="inlineStr">
        <is>
          <t>2026-09-28</t>
        </is>
      </c>
      <c r="F117" s="7" t="inlineStr">
        <is>
          <t>October 3, 2023</t>
        </is>
      </c>
      <c r="G117" s="7" t="inlineStr">
        <is>
          <t>searched, not cited in a cell</t>
        </is>
      </c>
    </row>
    <row r="118">
      <c r="B118" s="6" t="inlineStr">
        <is>
          <t>S113</t>
        </is>
      </c>
      <c r="C118" s="6" t="inlineStr">
        <is>
          <t>Amperon Raises $20 Million Series B to Accelerate Energy Analytics and Grid Decarbonization</t>
        </is>
      </c>
      <c r="D118" s="6" t="inlineStr">
        <is>
          <t>https://www.amperon.co/newsroom/amperon-raises-20-million-series-b-to-accelerate-energy-analytics-and-grid-decarbonization</t>
        </is>
      </c>
      <c r="E118" s="6" t="inlineStr">
        <is>
          <t>2026-09-28</t>
        </is>
      </c>
      <c r="F118" s="6" t="inlineStr">
        <is>
          <t>February 24, 2026</t>
        </is>
      </c>
      <c r="G118" s="6" t="inlineStr">
        <is>
          <t>searched, not cited in a cell</t>
        </is>
      </c>
    </row>
    <row r="119">
      <c r="B119" s="7" t="inlineStr">
        <is>
          <t>S114</t>
        </is>
      </c>
      <c r="C119" s="7" t="inlineStr">
        <is>
          <t>Amperon raises $20M series B from Energize Capital, others - Energy Capital</t>
        </is>
      </c>
      <c r="D119" s="7" t="inlineStr">
        <is>
          <t>https://energycapitalhtx.com/amperon-electricity-ai-series-b</t>
        </is>
      </c>
      <c r="E119" s="7" t="inlineStr">
        <is>
          <t>2026-09-28</t>
        </is>
      </c>
      <c r="F119" s="7" t="inlineStr">
        <is>
          <t>October 3, 2023</t>
        </is>
      </c>
      <c r="G119" s="7" t="inlineStr">
        <is>
          <t>searched, not cited in a cell</t>
        </is>
      </c>
    </row>
    <row r="120">
      <c r="B120" s="6" t="inlineStr">
        <is>
          <t>S115</t>
        </is>
      </c>
      <c r="C120" s="6" t="inlineStr">
        <is>
          <t>Why We Invested in Amperon</t>
        </is>
      </c>
      <c r="D120" s="6" t="inlineStr">
        <is>
          <t>https://energizecap.com/insights/why-we-invested-in-amperon</t>
        </is>
      </c>
      <c r="E120" s="6" t="inlineStr">
        <is>
          <t>2026-09-28</t>
        </is>
      </c>
      <c r="F120" s="6" t="inlineStr">
        <is>
          <t>2 weeks ago</t>
        </is>
      </c>
      <c r="G120" s="6" t="inlineStr">
        <is>
          <t>searched, not cited in a cell</t>
        </is>
      </c>
    </row>
    <row r="121">
      <c r="B121" s="7" t="inlineStr">
        <is>
          <t>S116</t>
        </is>
      </c>
      <c r="C121" s="7" t="inlineStr">
        <is>
          <t>Amperon Raises $20 Million Series B to Accelerate Energy Analytics and Grid Decarbonization</t>
        </is>
      </c>
      <c r="D121" s="7" t="inlineStr">
        <is>
          <t>https://www.prnewswire.com/news-releases/amperon-raises-20-million-series-b-to-accelerate-energy-analytics-and-grid-decarbonization-301945806.html</t>
        </is>
      </c>
      <c r="E121" s="7" t="inlineStr">
        <is>
          <t>2026-09-28</t>
        </is>
      </c>
      <c r="F121" s="7" t="inlineStr">
        <is>
          <t>October 3, 2023</t>
        </is>
      </c>
      <c r="G121" s="7" t="inlineStr">
        <is>
          <t>searched, not cited in a cell</t>
        </is>
      </c>
    </row>
    <row r="122">
      <c r="B122" s="6" t="inlineStr">
        <is>
          <t>S117</t>
        </is>
      </c>
      <c r="C122" s="6" t="inlineStr">
        <is>
          <t>Amperon Raises $20 Million Series B to Accelerate Energy Analytics and Grid Decarbonization</t>
        </is>
      </c>
      <c r="D122" s="6" t="inlineStr">
        <is>
          <t>https://www.lelezard.com/en/news-21087600.html</t>
        </is>
      </c>
      <c r="E122" s="6" t="inlineStr">
        <is>
          <t>2026-09-28</t>
        </is>
      </c>
      <c r="F122" s="6" t="inlineStr"/>
      <c r="G122" s="6" t="inlineStr">
        <is>
          <t>searched, not cited in a cell</t>
        </is>
      </c>
    </row>
    <row r="123">
      <c r="B123" s="7" t="inlineStr">
        <is>
          <t>S118</t>
        </is>
      </c>
      <c r="C123" s="7" t="inlineStr">
        <is>
          <t>Amperon Raises $20 Million in Series B | The SaaS News</t>
        </is>
      </c>
      <c r="D123" s="7" t="inlineStr">
        <is>
          <t>https://www.thesaasnews.com/news/amperon-raises-20-million-in-series-b</t>
        </is>
      </c>
      <c r="E123" s="7" t="inlineStr">
        <is>
          <t>2026-09-28</t>
        </is>
      </c>
      <c r="F123" s="7" t="inlineStr">
        <is>
          <t>October 4, 2023</t>
        </is>
      </c>
      <c r="G123" s="7" t="inlineStr">
        <is>
          <t>searched, not cited in a cell</t>
        </is>
      </c>
    </row>
    <row r="124">
      <c r="B124" s="6" t="inlineStr">
        <is>
          <t>S119</t>
        </is>
      </c>
      <c r="C124" s="6" t="inlineStr">
        <is>
          <t>Series A - Tyba - 2025-02-06</t>
        </is>
      </c>
      <c r="D124" s="6" t="inlineStr">
        <is>
          <t>https://www.crunchbase.com/funding_round/tyba-10be-series-a--e4227725</t>
        </is>
      </c>
      <c r="E124" s="6" t="inlineStr">
        <is>
          <t>2026-09-28</t>
        </is>
      </c>
      <c r="F124" s="6" t="inlineStr"/>
      <c r="G124" s="6" t="inlineStr">
        <is>
          <t>'Landscape'!B7:J7; 'Landscape'!B13</t>
        </is>
      </c>
    </row>
    <row r="125">
      <c r="B125" s="7" t="inlineStr">
        <is>
          <t>S120</t>
        </is>
      </c>
      <c r="C125" s="7" t="inlineStr">
        <is>
          <t>Tyba raises $13.9M Series A to improve the profitability of energy storage projects | Baker City Herald</t>
        </is>
      </c>
      <c r="D125" s="7" t="inlineStr">
        <is>
          <t>https://bakercityherald.com/2025/02/06/tyba-raises-13-9m-series-a-to-improve-the-profitability-of-energy-storage-projects/</t>
        </is>
      </c>
      <c r="E125" s="7" t="inlineStr">
        <is>
          <t>2026-09-28</t>
        </is>
      </c>
      <c r="F125" s="7" t="inlineStr">
        <is>
          <t>March 11, 2025</t>
        </is>
      </c>
      <c r="G125" s="7" t="inlineStr">
        <is>
          <t>searched, not cited in a cell</t>
        </is>
      </c>
    </row>
    <row r="126">
      <c r="B126" s="6" t="inlineStr">
        <is>
          <t>S121</t>
        </is>
      </c>
      <c r="C126" s="6" t="inlineStr">
        <is>
          <t>Tyba raises $13.9M Series A</t>
        </is>
      </c>
      <c r="D126" s="6" t="inlineStr">
        <is>
          <t>https://www.tyba.ai/energize-why-we-invested/</t>
        </is>
      </c>
      <c r="E126" s="6" t="inlineStr">
        <is>
          <t>2026-09-28</t>
        </is>
      </c>
      <c r="F126" s="6" t="inlineStr">
        <is>
          <t>February 6, 2025</t>
        </is>
      </c>
      <c r="G126" s="6" t="inlineStr">
        <is>
          <t>searched, not cited in a cell</t>
        </is>
      </c>
    </row>
    <row r="127">
      <c r="B127" s="7" t="inlineStr">
        <is>
          <t>S122</t>
        </is>
      </c>
      <c r="C127" s="7" t="inlineStr">
        <is>
          <t>[Energy Storage News] ‘Foundational’ market shifts affecting BESS in CAISO and ERCOT coming in 2025 - Tyba Energy</t>
        </is>
      </c>
      <c r="D127" s="7" t="inlineStr">
        <is>
          <t>https://www.tyba.ai/energy-market-shifts-ercot-caiso/</t>
        </is>
      </c>
      <c r="E127" s="7" t="inlineStr">
        <is>
          <t>2026-09-28</t>
        </is>
      </c>
      <c r="F127" s="7" t="inlineStr">
        <is>
          <t>March 19, 2025</t>
        </is>
      </c>
      <c r="G127" s="7" t="inlineStr">
        <is>
          <t>searched, not cited in a cell</t>
        </is>
      </c>
    </row>
    <row r="128">
      <c r="B128" s="6" t="inlineStr">
        <is>
          <t>S123</t>
        </is>
      </c>
      <c r="C128" s="6" t="inlineStr">
        <is>
          <t>CEO Michael Baker on Tyba's Series A - Tyba Energy</t>
        </is>
      </c>
      <c r="D128" s="6" t="inlineStr">
        <is>
          <t>https://www.tyba.ai/series-a-journey-vision/</t>
        </is>
      </c>
      <c r="E128" s="6" t="inlineStr">
        <is>
          <t>2026-09-28</t>
        </is>
      </c>
      <c r="F128" s="6" t="inlineStr">
        <is>
          <t>February 6, 2025</t>
        </is>
      </c>
      <c r="G128" s="6" t="inlineStr">
        <is>
          <t>searched, not cited in a cell</t>
        </is>
      </c>
    </row>
    <row r="129">
      <c r="B129" s="7" t="inlineStr">
        <is>
          <t>S124</t>
        </is>
      </c>
      <c r="C129" s="7" t="inlineStr">
        <is>
          <t>[Heatmap] Tyba Raises $14 Million to Help Batteries Make Money - Tyba Energy</t>
        </is>
      </c>
      <c r="D129" s="7" t="inlineStr">
        <is>
          <t>https://www.tyba.ai/optimiser-tyba-raises-funds/</t>
        </is>
      </c>
      <c r="E129" s="7" t="inlineStr">
        <is>
          <t>2026-09-28</t>
        </is>
      </c>
      <c r="F129" s="7" t="inlineStr">
        <is>
          <t>February 27, 2025</t>
        </is>
      </c>
      <c r="G129" s="7" t="inlineStr">
        <is>
          <t>searched, not cited in a cell</t>
        </is>
      </c>
    </row>
    <row r="130">
      <c r="B130" s="6" t="inlineStr">
        <is>
          <t>S125</t>
        </is>
      </c>
      <c r="C130" s="6" t="inlineStr">
        <is>
          <t>Amperon Raises $20 Million Series B to Accelerate Energy Analytics and Grid Decarbonization</t>
        </is>
      </c>
      <c r="D130" s="6" t="inlineStr">
        <is>
          <t>https://www.moomoo.com/news/post/28041808/amperon-raises-20-million-series-b-to-accelerate-energy-analytics</t>
        </is>
      </c>
      <c r="E130" s="6" t="inlineStr">
        <is>
          <t>2026-09-28</t>
        </is>
      </c>
      <c r="F130" s="6" t="inlineStr"/>
      <c r="G130" s="6" t="inlineStr">
        <is>
          <t>searched, not cited in a cell</t>
        </is>
      </c>
    </row>
    <row r="131">
      <c r="B131" s="7" t="inlineStr">
        <is>
          <t>S126</t>
        </is>
      </c>
      <c r="C131" s="7" t="inlineStr">
        <is>
          <t>Amperon raises $20M Series B led by Energize Capital</t>
        </is>
      </c>
      <c r="D131" s="7" t="inlineStr">
        <is>
          <t>https://www.axios.com/pro/climate-deals/2023/10/03/amperon-raises-20-million</t>
        </is>
      </c>
      <c r="E131" s="7" t="inlineStr">
        <is>
          <t>2026-09-28</t>
        </is>
      </c>
      <c r="F131" s="7" t="inlineStr">
        <is>
          <t>October 3, 2023</t>
        </is>
      </c>
      <c r="G131" s="7" t="inlineStr">
        <is>
          <t>searched, not cited in a cell</t>
        </is>
      </c>
    </row>
    <row r="132">
      <c r="B132" s="6" t="inlineStr">
        <is>
          <t>S127</t>
        </is>
      </c>
      <c r="C132" s="6" t="inlineStr">
        <is>
          <t>Amperon raises $7 million Series A led by HSBC Asset Management</t>
        </is>
      </c>
      <c r="D132" s="6" t="inlineStr">
        <is>
          <t>https://www.amperon.co/newsroom/amperon-raises-series-a</t>
        </is>
      </c>
      <c r="E132" s="6" t="inlineStr">
        <is>
          <t>2026-09-28</t>
        </is>
      </c>
      <c r="F132" s="6" t="inlineStr">
        <is>
          <t>December 4, 2023</t>
        </is>
      </c>
      <c r="G132" s="6" t="inlineStr">
        <is>
          <t>searched, not cited in a cell</t>
        </is>
      </c>
    </row>
    <row r="133">
      <c r="B133" s="7" t="inlineStr">
        <is>
          <t>S128</t>
        </is>
      </c>
      <c r="C133" s="7" t="inlineStr">
        <is>
          <t>Energy management startup GridBeyond funding round raises $12m - DCD</t>
        </is>
      </c>
      <c r="D133" s="7" t="inlineStr">
        <is>
          <t>https://www.datacenterdynamics.com/en/news/energy-management-startup-gridbeyond-funding-round-raises-12m/</t>
        </is>
      </c>
      <c r="E133" s="7" t="inlineStr">
        <is>
          <t>2026-09-28</t>
        </is>
      </c>
      <c r="F133" s="7" t="inlineStr">
        <is>
          <t>March 31, 2026</t>
        </is>
      </c>
      <c r="G133" s="7" t="inlineStr">
        <is>
          <t>'Landscape'!B10:J10; 'Landscape'!B13</t>
        </is>
      </c>
    </row>
    <row r="134">
      <c r="B134" s="6" t="inlineStr">
        <is>
          <t>S129</t>
        </is>
      </c>
      <c r="C134" s="6" t="inlineStr">
        <is>
          <t>AI-driven optimiser GridBeyond raises €52 million from investors including ABB, Energy Impact Partners</t>
        </is>
      </c>
      <c r="D134" s="6" t="inlineStr">
        <is>
          <t>https://www.energy-storage.news/ai-driven-optimiser-gridbeyond-raises-e52-million-from-investors-including-abb-energy-impact-partners/</t>
        </is>
      </c>
      <c r="E134" s="6" t="inlineStr">
        <is>
          <t>2026-09-28</t>
        </is>
      </c>
      <c r="F134" s="6" t="inlineStr">
        <is>
          <t>April 16, 2024</t>
        </is>
      </c>
      <c r="G134" s="6" t="inlineStr">
        <is>
          <t>searched, not cited in a cell</t>
        </is>
      </c>
    </row>
    <row r="135">
      <c r="B135" s="7" t="inlineStr">
        <is>
          <t>S130</t>
        </is>
      </c>
      <c r="C135" s="7" t="inlineStr">
        <is>
          <t>GridBeyond and ABB Deepen Strategic Partnership to Power BESS-as-a-Service</t>
        </is>
      </c>
      <c r="D135" s="7" t="inlineStr">
        <is>
          <t>https://www.automation.com/en-us/articles/may-2025/gridbeyond-abb-power-bess-as-a-service</t>
        </is>
      </c>
      <c r="E135" s="7" t="inlineStr">
        <is>
          <t>2026-09-28</t>
        </is>
      </c>
      <c r="F135" s="7" t="inlineStr">
        <is>
          <t>August 27, 2025</t>
        </is>
      </c>
      <c r="G135" s="7" t="inlineStr">
        <is>
          <t>'Landscape'!B10:J10; 'Landscape'!B13</t>
        </is>
      </c>
    </row>
    <row r="136">
      <c r="B136" s="6" t="inlineStr">
        <is>
          <t>S131</t>
        </is>
      </c>
      <c r="C136" s="6" t="inlineStr">
        <is>
          <t>Energy management startup GridBeyond funding round raises $12m – BeBeez International</t>
        </is>
      </c>
      <c r="D136" s="6" t="inlineStr">
        <is>
          <t>https://bebeez.eu/2026/03/18/energy-management-startup-gridbeyond-funding-round-raises-12m/</t>
        </is>
      </c>
      <c r="E136" s="6" t="inlineStr">
        <is>
          <t>2026-09-28</t>
        </is>
      </c>
      <c r="F136" s="6" t="inlineStr"/>
      <c r="G136" s="6" t="inlineStr">
        <is>
          <t>'Landscape'!B10:J10; 'Landscape'!B13</t>
        </is>
      </c>
    </row>
    <row r="137">
      <c r="B137" s="7" t="inlineStr">
        <is>
          <t>S132</t>
        </is>
      </c>
      <c r="C137" s="7" t="inlineStr">
        <is>
          <t>GridBeyond and ABB deepen their strategic partnership</t>
        </is>
      </c>
      <c r="D137" s="7" t="inlineStr">
        <is>
          <t>https://gridbeyond.com/gridbeyond-and-abb-deepen-their-strategic-partnership-to-power-bess-as-a-service/</t>
        </is>
      </c>
      <c r="E137" s="7" t="inlineStr">
        <is>
          <t>2026-09-28</t>
        </is>
      </c>
      <c r="F137" s="7" t="inlineStr">
        <is>
          <t>May 27, 2025</t>
        </is>
      </c>
      <c r="G137" s="7" t="inlineStr">
        <is>
          <t>searched, not cited in a cell</t>
        </is>
      </c>
    </row>
    <row r="138">
      <c r="B138" s="6" t="inlineStr">
        <is>
          <t>S133</t>
        </is>
      </c>
      <c r="C138" s="6" t="inlineStr">
        <is>
          <t>An award-winning provider of AI-powered Energy Services | GridBeyond</t>
        </is>
      </c>
      <c r="D138" s="6" t="inlineStr">
        <is>
          <t>https://gridbeyond.com/about-us-2/</t>
        </is>
      </c>
      <c r="E138" s="6" t="inlineStr">
        <is>
          <t>2026-09-28</t>
        </is>
      </c>
      <c r="F138" s="6" t="inlineStr">
        <is>
          <t>May 28, 2026</t>
        </is>
      </c>
      <c r="G138" s="6" t="inlineStr">
        <is>
          <t>searched, not cited in a cell</t>
        </is>
      </c>
    </row>
    <row r="139">
      <c r="B139" s="7" t="inlineStr">
        <is>
          <t>S134</t>
        </is>
      </c>
      <c r="C139" s="7" t="inlineStr">
        <is>
          <t>Powering progress: GridBeyond’s 2025 journey | GridBeyond</t>
        </is>
      </c>
      <c r="D139" s="7" t="inlineStr">
        <is>
          <t>https://gridbeyond.com/powering-progress-gridbeyonds-2025-journey/</t>
        </is>
      </c>
      <c r="E139" s="7" t="inlineStr">
        <is>
          <t>2026-09-28</t>
        </is>
      </c>
      <c r="F139" s="7" t="inlineStr">
        <is>
          <t>December 18, 2025</t>
        </is>
      </c>
      <c r="G139" s="7" t="inlineStr">
        <is>
          <t>searched, not cited in a cell</t>
        </is>
      </c>
    </row>
    <row r="140">
      <c r="B140" s="6" t="inlineStr">
        <is>
          <t>S135</t>
        </is>
      </c>
      <c r="C140" s="6" t="inlineStr">
        <is>
          <t>GridBeyond - 2026 Company Profile, Team, Funding, Competitors &amp; Financials - Tracxn</t>
        </is>
      </c>
      <c r="D140" s="6" t="inlineStr">
        <is>
          <t>https://tracxn.com/d/companies/gridbeyond/__daPNKjX7iJeCorgZpCcWcbuK_n5V6xLpirIFg1oJdzY</t>
        </is>
      </c>
      <c r="E140" s="6" t="inlineStr">
        <is>
          <t>2026-09-28</t>
        </is>
      </c>
      <c r="F140" s="6" t="inlineStr">
        <is>
          <t>4 weeks ago</t>
        </is>
      </c>
      <c r="G140" s="6" t="inlineStr">
        <is>
          <t>searched, not cited in a cell</t>
        </is>
      </c>
    </row>
    <row r="141">
      <c r="B141" s="7" t="inlineStr">
        <is>
          <t>S136</t>
        </is>
      </c>
      <c r="C141" s="7" t="inlineStr">
        <is>
          <t>How ABB's GridBeyond Investment Could Cut Energy Use | Sustainability Magazine</t>
        </is>
      </c>
      <c r="D141" s="7" t="inlineStr">
        <is>
          <t>https://sustainabilitymag.com/articles/energy-solutions-by-gridbeyond-supported-by-abb</t>
        </is>
      </c>
      <c r="E141" s="7" t="inlineStr">
        <is>
          <t>2026-09-28</t>
        </is>
      </c>
      <c r="F141" s="7" t="inlineStr">
        <is>
          <t>April 16, 2024</t>
        </is>
      </c>
      <c r="G141" s="7" t="inlineStr">
        <is>
          <t>searched, not cited in a cell</t>
        </is>
      </c>
    </row>
    <row r="142">
      <c r="B142" s="6" t="inlineStr">
        <is>
          <t>S137</t>
        </is>
      </c>
      <c r="C142" s="6" t="inlineStr">
        <is>
          <t>FlexGen Announces $100 Million Series C to Power Continued Growth | FlexGen</t>
        </is>
      </c>
      <c r="D142" s="6" t="inlineStr">
        <is>
          <t>https://www.flexgen.com/blog/flexgen-announces-100-million-series-c-power-continued-growth</t>
        </is>
      </c>
      <c r="E142" s="6" t="inlineStr">
        <is>
          <t>2026-09-28</t>
        </is>
      </c>
      <c r="F142" s="6" t="inlineStr"/>
      <c r="G142" s="6" t="inlineStr">
        <is>
          <t>searched, not cited in a cell</t>
        </is>
      </c>
    </row>
    <row r="143">
      <c r="B143" s="7" t="inlineStr">
        <is>
          <t>S138</t>
        </is>
      </c>
      <c r="C143" s="7" t="inlineStr">
        <is>
          <t>Energy trader Vitol in BESS integrator FlexGen's US$100 million Series C</t>
        </is>
      </c>
      <c r="D143" s="7" t="inlineStr">
        <is>
          <t>https://www.energy-storage.news/energy-trader-vitol-leads-us100-million-funding-round-for-bess-system-integrator-flexgen/</t>
        </is>
      </c>
      <c r="E143" s="7" t="inlineStr">
        <is>
          <t>2026-09-28</t>
        </is>
      </c>
      <c r="F143" s="7" t="inlineStr">
        <is>
          <t>May 31, 2023</t>
        </is>
      </c>
      <c r="G143" s="7" t="inlineStr">
        <is>
          <t>searched, not cited in a cell</t>
        </is>
      </c>
    </row>
    <row r="144">
      <c r="B144" s="6" t="inlineStr">
        <is>
          <t>S139</t>
        </is>
      </c>
      <c r="C144" s="6" t="inlineStr">
        <is>
          <t>FlexGen Announces $100 Million Series C to Power | decarbonfuse.com</t>
        </is>
      </c>
      <c r="D144" s="6" t="inlineStr">
        <is>
          <t>https://decarbonfuse.com/posts/flexgen-announces-100-million-series-c-to-power-continued-growth</t>
        </is>
      </c>
      <c r="E144" s="6" t="inlineStr">
        <is>
          <t>2026-09-28</t>
        </is>
      </c>
      <c r="F144" s="6" t="inlineStr">
        <is>
          <t>July 20, 2022</t>
        </is>
      </c>
      <c r="G144" s="6" t="inlineStr">
        <is>
          <t>'Capital'!B9:H9; 'Capital'!B10</t>
        </is>
      </c>
    </row>
    <row r="145">
      <c r="B145" s="7" t="inlineStr">
        <is>
          <t>S140</t>
        </is>
      </c>
      <c r="C145" s="7" t="inlineStr">
        <is>
          <t>FlexGen Power Raises $100 Million in Series C Funding - Mercom Capital Group</t>
        </is>
      </c>
      <c r="D145" s="7" t="inlineStr">
        <is>
          <t>https://mercomcapital.com/flexgen-raises-100-million/</t>
        </is>
      </c>
      <c r="E145" s="7" t="inlineStr">
        <is>
          <t>2026-09-28</t>
        </is>
      </c>
      <c r="F145" s="7" t="inlineStr">
        <is>
          <t>July 25, 2022</t>
        </is>
      </c>
      <c r="G145" s="7" t="inlineStr">
        <is>
          <t>searched, not cited in a cell</t>
        </is>
      </c>
    </row>
    <row r="146">
      <c r="B146" s="6" t="inlineStr">
        <is>
          <t>S141</t>
        </is>
      </c>
      <c r="C146" s="6" t="inlineStr">
        <is>
          <t>FlexGen's $100M Series C is the latest sign of the Southeast's battery power</t>
        </is>
      </c>
      <c r="D146" s="6" t="inlineStr">
        <is>
          <t>https://hypepotamus.com/startup-news/flexgens-100m-series-c-is-the-latest-sign-of-the-southeasts-battery-power/</t>
        </is>
      </c>
      <c r="E146" s="6" t="inlineStr">
        <is>
          <t>2026-09-28</t>
        </is>
      </c>
      <c r="F146" s="6" t="inlineStr">
        <is>
          <t>March 24, 2026</t>
        </is>
      </c>
      <c r="G146" s="6" t="inlineStr">
        <is>
          <t>searched, not cited in a cell</t>
        </is>
      </c>
    </row>
    <row r="147">
      <c r="B147" s="7" t="inlineStr">
        <is>
          <t>S142</t>
        </is>
      </c>
      <c r="C147" s="7" t="inlineStr">
        <is>
          <t>FlexGen Selected by Vitol Subsidiary VC Renewables to Deploy 2GWh of Energy Storage | FlexGen</t>
        </is>
      </c>
      <c r="D147" s="7" t="inlineStr">
        <is>
          <t>https://www.flexgen.com/resources/blog/flexgen-selected-vitol-subsidiary-vc-renewables-deploy-2gwh-energy-storage</t>
        </is>
      </c>
      <c r="E147" s="7" t="inlineStr">
        <is>
          <t>2026-09-28</t>
        </is>
      </c>
      <c r="F147" s="7" t="inlineStr"/>
      <c r="G147" s="7" t="inlineStr">
        <is>
          <t>searched, not cited in a cell</t>
        </is>
      </c>
    </row>
    <row r="148">
      <c r="B148" s="6" t="inlineStr">
        <is>
          <t>S143</t>
        </is>
      </c>
      <c r="C148" s="6" t="inlineStr">
        <is>
          <t>FlexGen Announces $100 Million Series C to Power Continued Growth</t>
        </is>
      </c>
      <c r="D148" s="6" t="inlineStr">
        <is>
          <t>https://www.prnewswire.com/news-releases/flexgen-announces-100-million-series-c-to-power-continued-growth-301588894.html</t>
        </is>
      </c>
      <c r="E148" s="6" t="inlineStr">
        <is>
          <t>2026-09-28</t>
        </is>
      </c>
      <c r="F148" s="6" t="inlineStr">
        <is>
          <t>July 19, 2022</t>
        </is>
      </c>
      <c r="G148" s="6" t="inlineStr">
        <is>
          <t>searched, not cited in a cell</t>
        </is>
      </c>
    </row>
    <row r="149">
      <c r="B149" s="7" t="inlineStr">
        <is>
          <t>S144</t>
        </is>
      </c>
      <c r="C149" s="7" t="inlineStr">
        <is>
          <t>FlexGen Announces $100 Million Series C to Power Continued Growth - Altira Group LLC</t>
        </is>
      </c>
      <c r="D149" s="7" t="inlineStr">
        <is>
          <t>https://www.altiragroup.com/news/flexgen-announces-100-million-series-c-power-continued-growth/</t>
        </is>
      </c>
      <c r="E149" s="7" t="inlineStr">
        <is>
          <t>2026-09-28</t>
        </is>
      </c>
      <c r="F149" s="7" t="inlineStr">
        <is>
          <t>October 2, 2024</t>
        </is>
      </c>
      <c r="G149" s="7" t="inlineStr">
        <is>
          <t>searched, not cited in a cell</t>
        </is>
      </c>
    </row>
    <row r="150">
      <c r="B150" s="6" t="inlineStr">
        <is>
          <t>S145</t>
        </is>
      </c>
      <c r="C150" s="6" t="inlineStr">
        <is>
          <t>FlexGen Power Systems Announces $100 Million Investment from Vitol - Solar Power Investor</t>
        </is>
      </c>
      <c r="D150" s="6" t="inlineStr">
        <is>
          <t>https://solarpowerinvestor.com/flexgen-power-systems-announces-100-million-investment-from-vitol/</t>
        </is>
      </c>
      <c r="E150" s="6" t="inlineStr">
        <is>
          <t>2026-09-28</t>
        </is>
      </c>
      <c r="F150" s="6" t="inlineStr">
        <is>
          <t>July 26, 2022</t>
        </is>
      </c>
      <c r="G150" s="6" t="inlineStr">
        <is>
          <t>searched, not cited in a cell</t>
        </is>
      </c>
    </row>
    <row r="151">
      <c r="B151" s="7" t="inlineStr">
        <is>
          <t>S146</t>
        </is>
      </c>
      <c r="C151" s="7" t="inlineStr">
        <is>
          <t>Habitat Energy to optimise 730MW ERCOT battery storage portfolio for UBS</t>
        </is>
      </c>
      <c r="D151" s="7" t="inlineStr">
        <is>
          <t>https://www.energy-storage.news/habitat-energy-to-optimise-730mw-ercot-battery-storage-portfolio-for-ubs/</t>
        </is>
      </c>
      <c r="E151" s="7" t="inlineStr">
        <is>
          <t>2026-09-28</t>
        </is>
      </c>
      <c r="F151" s="7" t="inlineStr">
        <is>
          <t>May 3, 2024</t>
        </is>
      </c>
      <c r="G151" s="7" t="inlineStr">
        <is>
          <t>'Landscape'!B9:J9; 'Landscape'!B13</t>
        </is>
      </c>
    </row>
    <row r="152">
      <c r="B152" s="6" t="inlineStr">
        <is>
          <t>S147</t>
        </is>
      </c>
      <c r="C152" s="6" t="inlineStr">
        <is>
          <t>Habitat Energy launches US Battery Storage Optimization Platform</t>
        </is>
      </c>
      <c r="D152" s="6" t="inlineStr">
        <is>
          <t>https://etn.news/iesa-contacts-menu/5658-habitat-energy-launches-us-battery-storage-optimization-platform</t>
        </is>
      </c>
      <c r="E152" s="6" t="inlineStr">
        <is>
          <t>2026-09-28</t>
        </is>
      </c>
      <c r="F152" s="6" t="inlineStr"/>
      <c r="G152" s="6" t="inlineStr">
        <is>
          <t>searched, not cited in a cell</t>
        </is>
      </c>
    </row>
    <row r="153">
      <c r="B153" s="7" t="inlineStr">
        <is>
          <t>S148</t>
        </is>
      </c>
      <c r="C153" s="7" t="inlineStr">
        <is>
          <t>Habitat Energy launch battery optimization service in the USA - Habitat Energy</t>
        </is>
      </c>
      <c r="D153" s="7" t="inlineStr">
        <is>
          <t>https://habitat.energy/habitat-energy-launches-battery-optimization-service-in-usa/</t>
        </is>
      </c>
      <c r="E153" s="7" t="inlineStr">
        <is>
          <t>2026-09-28</t>
        </is>
      </c>
      <c r="F153" s="7" t="inlineStr">
        <is>
          <t>October 17, 2024</t>
        </is>
      </c>
      <c r="G153" s="7" t="inlineStr">
        <is>
          <t>searched, not cited in a cell</t>
        </is>
      </c>
    </row>
    <row r="154">
      <c r="B154" s="6" t="inlineStr">
        <is>
          <t>S149</t>
        </is>
      </c>
      <c r="C154" s="6" t="inlineStr">
        <is>
          <t>Habitat Energy Expands Into PJM</t>
        </is>
      </c>
      <c r="D154" s="6" t="inlineStr">
        <is>
          <t>https://www.businesswire.com/news/home/20260415643233/en/Habitat-Energy-Expands-Into-PJM</t>
        </is>
      </c>
      <c r="E154" s="6" t="inlineStr">
        <is>
          <t>2026-09-28</t>
        </is>
      </c>
      <c r="F154" s="6" t="inlineStr">
        <is>
          <t>April 15, 2026</t>
        </is>
      </c>
      <c r="G154" s="6" t="inlineStr">
        <is>
          <t>searched, not cited in a cell</t>
        </is>
      </c>
    </row>
    <row r="155">
      <c r="B155" s="7" t="inlineStr">
        <is>
          <t>S150</t>
        </is>
      </c>
      <c r="C155" s="7" t="inlineStr">
        <is>
          <t>Habitat Energy to optimize UBS Asset Management's 730MW ERCOT battery storage portfolio</t>
        </is>
      </c>
      <c r="D155" s="7" t="inlineStr">
        <is>
          <t>https://habitat.energy/habitat-energy-to-optimize-ubs-asset-management-ercot-battery-storage-portfolio/</t>
        </is>
      </c>
      <c r="E155" s="7" t="inlineStr">
        <is>
          <t>2026-09-28</t>
        </is>
      </c>
      <c r="F155" s="7" t="inlineStr">
        <is>
          <t>October 17, 2024</t>
        </is>
      </c>
      <c r="G155" s="7" t="inlineStr">
        <is>
          <t>searched, not cited in a cell</t>
        </is>
      </c>
    </row>
    <row r="156">
      <c r="B156" s="6" t="inlineStr">
        <is>
          <t>S151</t>
        </is>
      </c>
      <c r="C156" s="6" t="inlineStr">
        <is>
          <t>Habitat Energy Announces First U.S. Co Located Solar Storage Optimization Project in ERCOT</t>
        </is>
      </c>
      <c r="D156" s="6" t="inlineStr">
        <is>
          <t>https://www.businesswire.com/news/home/20260304254654/en/Habitat-Energy-Announces-First-U.S.-Co-Located-Solar-Storage-Optimization-Project-in-ERCOT</t>
        </is>
      </c>
      <c r="E156" s="6" t="inlineStr">
        <is>
          <t>2026-09-28</t>
        </is>
      </c>
      <c r="F156" s="6" t="inlineStr"/>
      <c r="G156" s="6" t="inlineStr">
        <is>
          <t>searched, not cited in a cell</t>
        </is>
      </c>
    </row>
    <row r="157">
      <c r="B157" s="7" t="inlineStr">
        <is>
          <t>S152</t>
        </is>
      </c>
      <c r="C157" s="7" t="inlineStr">
        <is>
          <t>Earning in ERCOT: How to optimize grid-scale battery banks in Texas</t>
        </is>
      </c>
      <c r="D157" s="7" t="inlineStr">
        <is>
          <t>https://solarbuildermag.com/batteries/earning-in-ercot-how-to-optimize-grid-scale-battery-banks-in-texas/</t>
        </is>
      </c>
      <c r="E157" s="7" t="inlineStr">
        <is>
          <t>2026-09-28</t>
        </is>
      </c>
      <c r="F157" s="7" t="inlineStr">
        <is>
          <t>June 26, 2024</t>
        </is>
      </c>
      <c r="G157" s="7" t="inlineStr">
        <is>
          <t>searched, not cited in a cell</t>
        </is>
      </c>
    </row>
    <row r="158">
      <c r="B158" s="6" t="inlineStr">
        <is>
          <t>S153</t>
        </is>
      </c>
      <c r="C158" s="6" t="inlineStr">
        <is>
          <t>Gridmatic Launches $50M Storage Fund</t>
        </is>
      </c>
      <c r="D158" s="6" t="inlineStr">
        <is>
          <t>https://list.solar/news/gridmatic-launches/</t>
        </is>
      </c>
      <c r="E158" s="6" t="inlineStr">
        <is>
          <t>2026-09-28</t>
        </is>
      </c>
      <c r="F158" s="6" t="inlineStr">
        <is>
          <t>August 9, 2023</t>
        </is>
      </c>
      <c r="G158" s="6" t="inlineStr">
        <is>
          <t>searched, not cited in a cell</t>
        </is>
      </c>
    </row>
    <row r="159">
      <c r="B159" s="7" t="inlineStr">
        <is>
          <t>S154</t>
        </is>
      </c>
      <c r="C159" s="7" t="inlineStr">
        <is>
          <t>Gridmatic Closes %2450 Million Energy Storage Fund Underscoring Importance of AI to Optimizing Batteries</t>
        </is>
      </c>
      <c r="D159" s="7" t="inlineStr">
        <is>
          <t>https://www.businesswire.com/news/home/20231115697337/en/Gridmatic-Closes-%2450-Million-Energy-Storage-Fund-Underscoring-Importance-of-AI-to-Optimizing-Batteries</t>
        </is>
      </c>
      <c r="E159" s="7" t="inlineStr">
        <is>
          <t>2026-09-28</t>
        </is>
      </c>
      <c r="F159" s="7" t="inlineStr"/>
      <c r="G159" s="7" t="inlineStr">
        <is>
          <t>'Landscape'!B8:J8; 'Landscape'!B13</t>
        </is>
      </c>
    </row>
    <row r="160">
      <c r="B160" s="6" t="inlineStr">
        <is>
          <t>S155</t>
        </is>
      </c>
      <c r="C160" s="6" t="inlineStr">
        <is>
          <t>Modo Energy Raises 30.0M USD in Series B Funding | Seedtable</t>
        </is>
      </c>
      <c r="D160" s="6" t="inlineStr">
        <is>
          <t>https://seedtable.com/companies/modo-energy/funding-rounds/series-b-2025-12</t>
        </is>
      </c>
      <c r="E160" s="6" t="inlineStr">
        <is>
          <t>2026-09-28</t>
        </is>
      </c>
      <c r="F160" s="6" t="inlineStr"/>
      <c r="G160" s="6" t="inlineStr">
        <is>
          <t>'Landscape'!B11:J11; 'Landscape'!B13</t>
        </is>
      </c>
    </row>
    <row r="161">
      <c r="B161" s="7" t="inlineStr">
        <is>
          <t>S156</t>
        </is>
      </c>
      <c r="C161" s="7" t="inlineStr">
        <is>
          <t>Modo Energy Raises £25m Series B Led by Molten Ventures</t>
        </is>
      </c>
      <c r="D161" s="7" t="inlineStr">
        <is>
          <t>https://www.linkedin.com/posts/molten-ventures_molten-ventures-is-pleased-to-lead-modo-energy-activity-7401894661759410176-HHNg</t>
        </is>
      </c>
      <c r="E161" s="7" t="inlineStr">
        <is>
          <t>2026-09-28</t>
        </is>
      </c>
      <c r="F161" s="7" t="inlineStr"/>
      <c r="G161" s="7" t="inlineStr">
        <is>
          <t>searched, not cited in a cell</t>
        </is>
      </c>
    </row>
    <row r="162">
      <c r="B162" s="6" t="inlineStr">
        <is>
          <t>S157</t>
        </is>
      </c>
      <c r="C162" s="6" t="inlineStr">
        <is>
          <t>Modo Energy Raises $30m in Series B for Electrification ...</t>
        </is>
      </c>
      <c r="D162" s="6" t="inlineStr">
        <is>
          <t>https://www.linkedin.com/posts/modo-energy_announcing-modo-energys-30m-series-b-activity-7401893039125995520-QD0d</t>
        </is>
      </c>
      <c r="E162" s="6" t="inlineStr">
        <is>
          <t>2026-09-28</t>
        </is>
      </c>
      <c r="F162" s="6" t="inlineStr"/>
      <c r="G162" s="6" t="inlineStr">
        <is>
          <t>searched, not cited in a cell</t>
        </is>
      </c>
    </row>
    <row r="163">
      <c r="B163" s="7" t="inlineStr">
        <is>
          <t>S158</t>
        </is>
      </c>
      <c r="C163" s="7" t="inlineStr">
        <is>
          <t>Modo Energy raises $30m Series B - Research | Modo Energy</t>
        </is>
      </c>
      <c r="D163" s="7" t="inlineStr">
        <is>
          <t>https://modoenergy.com/research/en/series-b-modo-energy-molten-ventures-etf-partners-mmc-ventures-fred-olsen-limited-strategy-2026</t>
        </is>
      </c>
      <c r="E163" s="7" t="inlineStr">
        <is>
          <t>2026-09-28</t>
        </is>
      </c>
      <c r="F163" s="7" t="inlineStr">
        <is>
          <t>December 2, 2025</t>
        </is>
      </c>
      <c r="G163" s="7" t="inlineStr">
        <is>
          <t>'Landscape'!B11:J11; 'Landscape'!B13</t>
        </is>
      </c>
    </row>
    <row r="164">
      <c r="B164" s="6" t="inlineStr">
        <is>
          <t>S159</t>
        </is>
      </c>
      <c r="C164" s="6" t="inlineStr">
        <is>
          <t>Modo Energy raises $33M and sets out AI ambitions - Energy Storage</t>
        </is>
      </c>
      <c r="D164" s="6" t="inlineStr">
        <is>
          <t>https://www.ess-news.com/2025/12/03/modo-energy-raises-33m-and-sets-out-ai-ambitions/</t>
        </is>
      </c>
      <c r="E164" s="6" t="inlineStr">
        <is>
          <t>2026-09-28</t>
        </is>
      </c>
      <c r="F164" s="6" t="inlineStr">
        <is>
          <t>December 3, 2025</t>
        </is>
      </c>
      <c r="G164" s="6" t="inlineStr">
        <is>
          <t>searched, not cited in a cell</t>
        </is>
      </c>
    </row>
    <row r="165">
      <c r="B165" s="7" t="inlineStr">
        <is>
          <t>S160</t>
        </is>
      </c>
      <c r="C165" s="7" t="inlineStr">
        <is>
          <t>London’s Modo Energy secures €14.9 million to scale its AI-powered energy benchmarking and valuation platform | EU-Startups</t>
        </is>
      </c>
      <c r="D165" s="7" t="inlineStr">
        <is>
          <t>https://www.eu-startups.com/2026/07/londons-modo-energy-secures-e14-9-million-to-scale-its-ai-powered-energy-benchmarking-and-valuation-platform/</t>
        </is>
      </c>
      <c r="E165" s="7" t="inlineStr">
        <is>
          <t>2026-09-28</t>
        </is>
      </c>
      <c r="F165" s="7" t="inlineStr">
        <is>
          <t>July 22, 2026</t>
        </is>
      </c>
      <c r="G165" s="7" t="inlineStr">
        <is>
          <t>searched, not cited in a cell</t>
        </is>
      </c>
    </row>
    <row r="166">
      <c r="B166" s="6" t="inlineStr">
        <is>
          <t>S161</t>
        </is>
      </c>
      <c r="C166" s="6" t="inlineStr">
        <is>
          <t>Modo Energy £25m Series B startup funding | Startupmag | Startupmag</t>
        </is>
      </c>
      <c r="D166" s="6" t="inlineStr">
        <is>
          <t>https://www.startupmag.co.uk/funding/modo-energy-2025-series-b-funding/</t>
        </is>
      </c>
      <c r="E166" s="6" t="inlineStr">
        <is>
          <t>2026-09-28</t>
        </is>
      </c>
      <c r="F166" s="6" t="inlineStr">
        <is>
          <t>December 3, 2025</t>
        </is>
      </c>
      <c r="G166" s="6" t="inlineStr">
        <is>
          <t>searched, not cited in a cell</t>
        </is>
      </c>
    </row>
    <row r="167">
      <c r="B167" s="7" t="inlineStr">
        <is>
          <t>S162</t>
        </is>
      </c>
      <c r="C167" s="7" t="inlineStr">
        <is>
          <t>Modo Energy - 2026 Funding Rounds &amp; List of Investors - Tracxn</t>
        </is>
      </c>
      <c r="D167" s="7" t="inlineStr">
        <is>
          <t>https://tracxn.com/d/companies/modo-energy/__x87KBchHZ2qOnbkEizPznopcILxl8itvaY7Zka-fvA4/funding-and-investors</t>
        </is>
      </c>
      <c r="E167" s="7" t="inlineStr">
        <is>
          <t>2026-09-28</t>
        </is>
      </c>
      <c r="F167" s="7" t="inlineStr">
        <is>
          <t>June 5, 2026</t>
        </is>
      </c>
      <c r="G167" s="7" t="inlineStr">
        <is>
          <t>searched, not cited in a cell</t>
        </is>
      </c>
    </row>
    <row r="168">
      <c r="B168" s="6" t="inlineStr">
        <is>
          <t>S163</t>
        </is>
      </c>
      <c r="C168" s="6" t="inlineStr">
        <is>
          <t>UK's Modo Energy raises £25M from Molten Ventures to value batteries and renewables at scale — TFN</t>
        </is>
      </c>
      <c r="D168" s="6" t="inlineStr">
        <is>
          <t>https://techfundingnews.com/modo-energy-25m-series-b/</t>
        </is>
      </c>
      <c r="E168" s="6" t="inlineStr">
        <is>
          <t>2026-09-28</t>
        </is>
      </c>
      <c r="F168" s="6" t="inlineStr">
        <is>
          <t>December 3, 2025</t>
        </is>
      </c>
      <c r="G168" s="6" t="inlineStr">
        <is>
          <t>searched, not cited in a cell</t>
        </is>
      </c>
    </row>
    <row r="169">
      <c r="B169" s="7" t="inlineStr">
        <is>
          <t>S164</t>
        </is>
      </c>
      <c r="C169" s="7" t="inlineStr">
        <is>
          <t>Ascend Analytics - Crunchbase Company Profile &amp; Funding</t>
        </is>
      </c>
      <c r="D169" s="7" t="inlineStr">
        <is>
          <t>https://www.crunchbase.com/organization/ascend-analytics</t>
        </is>
      </c>
      <c r="E169" s="7" t="inlineStr">
        <is>
          <t>2026-09-28</t>
        </is>
      </c>
      <c r="F169" s="7" t="inlineStr"/>
      <c r="G169" s="7" t="inlineStr">
        <is>
          <t>searched, not cited in a cell</t>
        </is>
      </c>
    </row>
    <row r="170">
      <c r="B170" s="6" t="inlineStr">
        <is>
          <t>S165</t>
        </is>
      </c>
      <c r="C170" s="6" t="inlineStr">
        <is>
          <t>Energy Storage Finance &amp; Investment 2025</t>
        </is>
      </c>
      <c r="D170" s="6" t="inlineStr">
        <is>
          <t>https://www.ascendanalytics.com/energy-storage-finance-investment-2025</t>
        </is>
      </c>
      <c r="E170" s="6" t="inlineStr">
        <is>
          <t>2026-09-28</t>
        </is>
      </c>
      <c r="F170" s="6" t="inlineStr"/>
      <c r="G170" s="6" t="inlineStr">
        <is>
          <t>searched, not cited in a cell</t>
        </is>
      </c>
    </row>
    <row r="171">
      <c r="B171" s="7" t="inlineStr">
        <is>
          <t>S166</t>
        </is>
      </c>
      <c r="C171" s="7" t="inlineStr">
        <is>
          <t>New Generation Battery Storage Revenue Modeling &amp; Asset Valuation</t>
        </is>
      </c>
      <c r="D171" s="7" t="inlineStr">
        <is>
          <t>https://www.ascendanalytics.com/blog/new-generation-battery-storage-revenue-modeling-asset-valuation</t>
        </is>
      </c>
      <c r="E171" s="7" t="inlineStr">
        <is>
          <t>2026-09-28</t>
        </is>
      </c>
      <c r="F171" s="7" t="inlineStr"/>
      <c r="G171" s="7" t="inlineStr">
        <is>
          <t>'Landscape'!B12:J12; 'Landscape'!B13</t>
        </is>
      </c>
    </row>
    <row r="172">
      <c r="B172" s="6" t="inlineStr">
        <is>
          <t>S167</t>
        </is>
      </c>
      <c r="C172" s="6" t="inlineStr">
        <is>
          <t>Ascend Analytics: Leveraging Bid Optimization Software to Maximize Battery Energy Storage Value</t>
        </is>
      </c>
      <c r="D172" s="6" t="inlineStr">
        <is>
          <t>https://www.silversmith.com/news/ascend-analytics-leveraging-bid-optimization-software-to-maximize-battery-energy-storage-value</t>
        </is>
      </c>
      <c r="E172" s="6" t="inlineStr">
        <is>
          <t>2026-09-28</t>
        </is>
      </c>
      <c r="F172" s="6" t="inlineStr"/>
      <c r="G172" s="6" t="inlineStr">
        <is>
          <t>'Landscape'!B12:J12; 'Landscape'!B13</t>
        </is>
      </c>
    </row>
    <row r="173">
      <c r="B173" s="7" t="inlineStr">
        <is>
          <t>S168</t>
        </is>
      </c>
      <c r="C173" s="7" t="inlineStr">
        <is>
          <t>New Energy Risk and Ascend Analytics Support Leading Renewable Energy Infrastructure Fund on Merchant Battery Projects in ERCOT</t>
        </is>
      </c>
      <c r="D173" s="7" t="inlineStr">
        <is>
          <t>https://www.ascendanalytics.com/blog/new-energy-risk-and-ascend-analytics-support-leading-renewable-energy-infrastructure-fund-on-merchant-battery-projects-in-ercot-with-custom-revenue-insurance-solution</t>
        </is>
      </c>
      <c r="E173" s="7" t="inlineStr">
        <is>
          <t>2026-09-28</t>
        </is>
      </c>
      <c r="F173" s="7" t="inlineStr"/>
      <c r="G173" s="7" t="inlineStr">
        <is>
          <t>searched, not cited in a cell</t>
        </is>
      </c>
    </row>
    <row r="174">
      <c r="B174" s="6" t="inlineStr">
        <is>
          <t>S169</t>
        </is>
      </c>
      <c r="C174" s="6" t="inlineStr">
        <is>
          <t>Ascend Analytics Releases Next-Generation Battery Valuation Solution</t>
        </is>
      </c>
      <c r="D174" s="6" t="inlineStr">
        <is>
          <t>https://www.ascendanalytics.com/blog/ascend-analytics-releases-next-generation-battery-valuation-solution</t>
        </is>
      </c>
      <c r="E174" s="6" t="inlineStr">
        <is>
          <t>2026-09-28</t>
        </is>
      </c>
      <c r="F174" s="6" t="inlineStr">
        <is>
          <t>June 5, 2024</t>
        </is>
      </c>
      <c r="G174" s="6" t="inlineStr">
        <is>
          <t>searched, not cited in a cell</t>
        </is>
      </c>
    </row>
    <row r="175">
      <c r="B175" s="7" t="inlineStr">
        <is>
          <t>S170</t>
        </is>
      </c>
      <c r="C175" s="7" t="inlineStr">
        <is>
          <t>Ascend Analytics | LinkedIn</t>
        </is>
      </c>
      <c r="D175" s="7" t="inlineStr">
        <is>
          <t>https://www.linkedin.com/company/ascend-analytics</t>
        </is>
      </c>
      <c r="E175" s="7" t="inlineStr">
        <is>
          <t>2026-09-28</t>
        </is>
      </c>
      <c r="F175" s="7" t="inlineStr"/>
      <c r="G175" s="7" t="inlineStr">
        <is>
          <t>searched, not cited in a cell</t>
        </is>
      </c>
    </row>
    <row r="176">
      <c r="B176" s="6" t="inlineStr">
        <is>
          <t>S171</t>
        </is>
      </c>
      <c r="C176" s="6" t="inlineStr">
        <is>
          <t>Energy Software &amp; Consulting | Ascend Analytics</t>
        </is>
      </c>
      <c r="D176" s="6" t="inlineStr">
        <is>
          <t>https://www.ascendanalytics.com/</t>
        </is>
      </c>
      <c r="E176" s="6" t="inlineStr">
        <is>
          <t>2026-09-28</t>
        </is>
      </c>
      <c r="F176" s="6" t="inlineStr"/>
      <c r="G176" s="6" t="inlineStr">
        <is>
          <t>searched, not cited in a cell</t>
        </is>
      </c>
    </row>
    <row r="177">
      <c r="B177" s="7" t="inlineStr">
        <is>
          <t>S172</t>
        </is>
      </c>
      <c r="C177" s="7" t="inlineStr">
        <is>
          <t>Ascend Analytics - 2026 Company Profile, Team, Funding &amp; Competitors - Tracxn</t>
        </is>
      </c>
      <c r="D177" s="7" t="inlineStr">
        <is>
          <t>https://tracxn.com/d/companies/ascendanalytics/__hf-s8kQzU5JjXBlbQhT3l6WIYYmMzbEZVMgit0uzYPo</t>
        </is>
      </c>
      <c r="E177" s="7" t="inlineStr">
        <is>
          <t>2026-09-28</t>
        </is>
      </c>
      <c r="F177" s="7" t="inlineStr">
        <is>
          <t>May 11, 2026</t>
        </is>
      </c>
      <c r="G177" s="7" t="inlineStr">
        <is>
          <t>searched, not cited in a cell</t>
        </is>
      </c>
    </row>
    <row r="178">
      <c r="B178" s="6" t="inlineStr">
        <is>
          <t>S173</t>
        </is>
      </c>
      <c r="C178" s="6" t="inlineStr">
        <is>
          <t>Power Price Forecasting &amp; Valuation | Ascend Analytics: Enhancing Decision Making in the Energy Market</t>
        </is>
      </c>
      <c r="D178" s="6" t="inlineStr">
        <is>
          <t>https://www.ascendanalytics.com/solutions/product-overview</t>
        </is>
      </c>
      <c r="E178" s="6" t="inlineStr">
        <is>
          <t>2026-09-28</t>
        </is>
      </c>
      <c r="F178" s="6" t="inlineStr"/>
      <c r="G178" s="6" t="inlineStr">
        <is>
          <t>searched, not cited in a cell</t>
        </is>
      </c>
    </row>
    <row r="179">
      <c r="B179" s="7" t="inlineStr">
        <is>
          <t>S174</t>
        </is>
      </c>
      <c r="C179" s="7" t="inlineStr">
        <is>
          <t>Beating the Benchmark: Evolving Energy Storage Bidding in the US</t>
        </is>
      </c>
      <c r="D179" s="7" t="inlineStr">
        <is>
          <t>https://blog.fluenceenergy.com/beating-bidding-benchmark-evolving-energy-storage</t>
        </is>
      </c>
      <c r="E179" s="7" t="inlineStr">
        <is>
          <t>2026-09-28</t>
        </is>
      </c>
      <c r="F179" s="7" t="inlineStr">
        <is>
          <t>May 26, 2026</t>
        </is>
      </c>
      <c r="G179" s="7" t="inlineStr">
        <is>
          <t>searched, not cited in a cell</t>
        </is>
      </c>
    </row>
    <row r="180">
      <c r="B180" s="6" t="inlineStr">
        <is>
          <t>S175</t>
        </is>
      </c>
      <c r="C180" s="6" t="inlineStr">
        <is>
          <t>Fluence Energy, Inc. - Form 10-Q - FY2025 (Quarterly Earnings Tables - quarter ended Mar 2025)</t>
        </is>
      </c>
      <c r="D180" s="6" t="inlineStr">
        <is>
          <t>https://www.sec.gov/Archives/edgar/data/1868941/000186894125000060/Financial_Report.xlsx</t>
        </is>
      </c>
      <c r="E180" s="6" t="inlineStr">
        <is>
          <t>2026-09-28</t>
        </is>
      </c>
      <c r="F180" s="6" t="inlineStr"/>
      <c r="G180" s="6" t="inlineStr">
        <is>
          <t>searched, not cited in a cell</t>
        </is>
      </c>
    </row>
    <row r="181">
      <c r="B181" s="7" t="inlineStr">
        <is>
          <t>S176</t>
        </is>
      </c>
      <c r="C181" s="7" t="inlineStr">
        <is>
          <t>Fluence Energy, Inc. - Form 10-Q - FY2025</t>
        </is>
      </c>
      <c r="D181" s="7" t="inlineStr">
        <is>
          <t>https://www.sec.gov/Archives/edgar/data/1868941/000186894125000060/flnc-20250331.htm</t>
        </is>
      </c>
      <c r="E181" s="7" t="inlineStr">
        <is>
          <t>2026-09-28</t>
        </is>
      </c>
      <c r="F181" s="7" t="inlineStr"/>
      <c r="G181" s="7" t="inlineStr">
        <is>
          <t>searched, not cited in a cell</t>
        </is>
      </c>
    </row>
    <row r="182">
      <c r="B182" s="6" t="inlineStr">
        <is>
          <t>S177</t>
        </is>
      </c>
      <c r="C182" s="6" t="inlineStr">
        <is>
          <t>Fluence Energy, Inc. - Form 10-Q - FY2025</t>
        </is>
      </c>
      <c r="D182" s="6" t="inlineStr">
        <is>
          <t>https://www.sec.gov/Archives/edgar/data/1868941/000186894125000076/flnc-20250630.htm</t>
        </is>
      </c>
      <c r="E182" s="6" t="inlineStr">
        <is>
          <t>2026-09-28</t>
        </is>
      </c>
      <c r="F182" s="6" t="inlineStr"/>
      <c r="G182" s="6" t="inlineStr">
        <is>
          <t>searched, not cited in a cell</t>
        </is>
      </c>
    </row>
    <row r="183">
      <c r="B183" s="7" t="inlineStr">
        <is>
          <t>S178</t>
        </is>
      </c>
      <c r="C183" s="7" t="inlineStr">
        <is>
          <t>Fluence Energy, Inc. - Form 8-K - FY2025</t>
        </is>
      </c>
      <c r="D183" s="7" t="inlineStr">
        <is>
          <t>https://www.sec.gov/Archives/edgar/data/1868941/000186894125000013/flncq1fy25earningspressrel.htm</t>
        </is>
      </c>
      <c r="E183" s="7" t="inlineStr">
        <is>
          <t>2026-09-28</t>
        </is>
      </c>
      <c r="F183" s="7" t="inlineStr"/>
      <c r="G183" s="7" t="inlineStr">
        <is>
          <t>searched, not cited in a cell</t>
        </is>
      </c>
    </row>
    <row r="184">
      <c r="B184" s="6" t="inlineStr">
        <is>
          <t>S179</t>
        </is>
      </c>
      <c r="C184" s="6" t="inlineStr">
        <is>
          <t>Fluence Mosaic Intelligent Bidding Software Expands to Optimize Hybrid Renewables and Storage Assets in California Independent System Operator Wholesa</t>
        </is>
      </c>
      <c r="D184" s="6" t="inlineStr">
        <is>
          <t>https://ir.fluenceenergy.com/news-releases/news-release-details/fluence-mosaic-intelligent-bidding-software-expands-optimize</t>
        </is>
      </c>
      <c r="E184" s="6" t="inlineStr">
        <is>
          <t>2026-09-28</t>
        </is>
      </c>
      <c r="F184" s="6" t="inlineStr">
        <is>
          <t>January 16, 2024</t>
        </is>
      </c>
      <c r="G184" s="6" t="inlineStr">
        <is>
          <t>searched, not cited in a cell</t>
        </is>
      </c>
    </row>
    <row r="185">
      <c r="B185" s="7" t="inlineStr">
        <is>
          <t>S180</t>
        </is>
      </c>
      <c r="C185" s="7" t="inlineStr">
        <is>
          <t>Fluence Mosaic Intelligent Bidding Software for Energy Storage Systems Expands into Electric Reliability Council of Texas Wholesale Power Market</t>
        </is>
      </c>
      <c r="D185" s="7" t="inlineStr">
        <is>
          <t>https://www.cbs42.com/business/press-releases/globenewswire/8754118/fluence-mosaic-intelligent-bidding-software-for-energy-storage-systems-expands-into-electric-reliability-council-of-texas-wholesale-power-market/</t>
        </is>
      </c>
      <c r="E185" s="7" t="inlineStr">
        <is>
          <t>2026-09-28</t>
        </is>
      </c>
      <c r="F185" s="7" t="inlineStr">
        <is>
          <t>February 22, 2023</t>
        </is>
      </c>
      <c r="G185" s="7" t="inlineStr">
        <is>
          <t>searched, not cited in a cell</t>
        </is>
      </c>
    </row>
    <row r="186">
      <c r="B186" s="6" t="inlineStr">
        <is>
          <t>S181</t>
        </is>
      </c>
      <c r="C186" s="6" t="inlineStr">
        <is>
          <t>Mosaic Intelligent Bidding Software for Renewables and Energy Storage</t>
        </is>
      </c>
      <c r="D186" s="6" t="inlineStr">
        <is>
          <t>https://fluenceenergy.com/mosaic-intelligent-bidding-software/</t>
        </is>
      </c>
      <c r="E186" s="6" t="inlineStr">
        <is>
          <t>2026-09-28</t>
        </is>
      </c>
      <c r="F186" s="6" t="inlineStr">
        <is>
          <t>December 4, 2025</t>
        </is>
      </c>
      <c r="G186" s="6" t="inlineStr">
        <is>
          <t>'Scope'!B13:C13; 'Scope'!B16; 'Risks'!B17</t>
        </is>
      </c>
    </row>
    <row r="187">
      <c r="B187" s="7" t="inlineStr">
        <is>
          <t>S182</t>
        </is>
      </c>
      <c r="C187" s="7" t="inlineStr">
        <is>
          <t>Fluence Mosaic Intelligent Bidding Software Expands to Optimize Hybrid Renewables and Storage Assets in California Independent System Operator Wholesa</t>
        </is>
      </c>
      <c r="D187" s="7" t="inlineStr">
        <is>
          <t>https://www.globenewswire.com/news-release/2024/01/16/2809806/0/en/Fluence-Mosaic-Intelligent-Bidding-Software-Expands-to-Optimize-Hybrid-Renewables-and-Storage-Assets-in-California-Independent-System-Operator-Wholesale-Power-Market.html</t>
        </is>
      </c>
      <c r="E187" s="7" t="inlineStr">
        <is>
          <t>2026-09-28</t>
        </is>
      </c>
      <c r="F187" s="7" t="inlineStr">
        <is>
          <t>January 16, 2024</t>
        </is>
      </c>
      <c r="G187" s="7" t="inlineStr">
        <is>
          <t>searched, not cited in a cell</t>
        </is>
      </c>
    </row>
    <row r="188">
      <c r="B188" s="6" t="inlineStr">
        <is>
          <t>S183</t>
        </is>
      </c>
      <c r="C188" s="6" t="inlineStr">
        <is>
          <t>Samsung Ventures Joins GridBeyond’s Shareholder Base as Part of a €12M Equity Investment</t>
        </is>
      </c>
      <c r="D188" s="6" t="inlineStr">
        <is>
          <t>https://finance.yahoo.com/news/samsung-ventures-joins-gridbeyond-shareholder-070000726.html</t>
        </is>
      </c>
      <c r="E188" s="6" t="inlineStr">
        <is>
          <t>2026-09-28</t>
        </is>
      </c>
      <c r="F188" s="6" t="inlineStr">
        <is>
          <t>March 17, 2026</t>
        </is>
      </c>
      <c r="G188" s="6" t="inlineStr">
        <is>
          <t>searched, not cited in a cell</t>
        </is>
      </c>
    </row>
    <row r="189">
      <c r="B189" s="7" t="inlineStr">
        <is>
          <t>S184</t>
        </is>
      </c>
      <c r="C189" s="7" t="inlineStr">
        <is>
          <t>GridBeyond attracts Samsung Ventures as investor in EUR-12m raising | Renewable Energy News | Renewables Now</t>
        </is>
      </c>
      <c r="D189" s="7" t="inlineStr">
        <is>
          <t>https://renewablesnow.com/news/gridbeyond-attracts-samsung-ventures-as-investor-in-eur-12m-raising-1291559/</t>
        </is>
      </c>
      <c r="E189" s="7" t="inlineStr">
        <is>
          <t>2026-09-28</t>
        </is>
      </c>
      <c r="F189" s="7" t="inlineStr">
        <is>
          <t>March 18, 2026</t>
        </is>
      </c>
      <c r="G189" s="7" t="inlineStr">
        <is>
          <t>searched, not cited in a cell</t>
        </is>
      </c>
    </row>
    <row r="190">
      <c r="B190" s="6" t="inlineStr">
        <is>
          <t>S185</t>
        </is>
      </c>
      <c r="C190" s="6" t="inlineStr">
        <is>
          <t>Samsung Ventures Joins GridBeyond’s Shareholder Base as Part of a €12M Equity Investment | News | bakersfield.com</t>
        </is>
      </c>
      <c r="D190" s="6" t="inlineStr">
        <is>
          <t>https://www.bakersfield.com/ap/news/samsung-ventures-joins-gridbeyond-s-shareholder-base-as-part-of-a-12m-equity-investment/article_7e6a3c0e-cfcb-5698-b8a0-07a6d63bafa4.html</t>
        </is>
      </c>
      <c r="E190" s="6" t="inlineStr">
        <is>
          <t>2026-09-28</t>
        </is>
      </c>
      <c r="F190" s="6" t="inlineStr">
        <is>
          <t>March 17, 2026</t>
        </is>
      </c>
      <c r="G190" s="6" t="inlineStr">
        <is>
          <t>searched, not cited in a cell</t>
        </is>
      </c>
    </row>
    <row r="191">
      <c r="B191" s="7" t="inlineStr">
        <is>
          <t>S186</t>
        </is>
      </c>
      <c r="C191" s="7" t="inlineStr">
        <is>
          <t>Samsung Ventures joins GridBeyond’s shareholder base</t>
        </is>
      </c>
      <c r="D191" s="7" t="inlineStr">
        <is>
          <t>https://gridbeyond.com/samsung-ventures-joins-gridbeyonds-shareholder-base-as-part-of-a-e12m-equity-investment/</t>
        </is>
      </c>
      <c r="E191" s="7" t="inlineStr">
        <is>
          <t>2026-09-28</t>
        </is>
      </c>
      <c r="F191" s="7" t="inlineStr">
        <is>
          <t>March 17, 2026</t>
        </is>
      </c>
      <c r="G191" s="7" t="inlineStr">
        <is>
          <t>searched, not cited in a cell</t>
        </is>
      </c>
    </row>
    <row r="192">
      <c r="B192" s="6" t="inlineStr">
        <is>
          <t>S187</t>
        </is>
      </c>
      <c r="C192" s="6" t="inlineStr">
        <is>
          <t>Samsung Ventures joins GridBeyond’s shareholder base as part of a €12M equity investment - Claret Capital</t>
        </is>
      </c>
      <c r="D192" s="6" t="inlineStr">
        <is>
          <t>https://www.claret-capital.com/articles/samsung-ventures-joins-gridbeyonds-shareholder-base-as-part-of-a-e12m-equity-investment/</t>
        </is>
      </c>
      <c r="E192" s="6" t="inlineStr">
        <is>
          <t>2026-09-28</t>
        </is>
      </c>
      <c r="F192" s="6" t="inlineStr">
        <is>
          <t>May 19, 2026</t>
        </is>
      </c>
      <c r="G192" s="6" t="inlineStr">
        <is>
          <t>searched, not cited in a cell</t>
        </is>
      </c>
    </row>
    <row r="193">
      <c r="B193" s="7" t="inlineStr">
        <is>
          <t>S188</t>
        </is>
      </c>
      <c r="C193" s="7" t="inlineStr">
        <is>
          <t>Samsung Ventures Joins GridBeyond's Shareholder Base - NYC Today</t>
        </is>
      </c>
      <c r="D193" s="7" t="inlineStr">
        <is>
          <t>https://nationaltoday.com/us/ny/new-york/news/2026/03/17/samsung-ventures-joins-gridbeyonds-shareholder-base/</t>
        </is>
      </c>
      <c r="E193" s="7" t="inlineStr">
        <is>
          <t>2026-09-28</t>
        </is>
      </c>
      <c r="F193" s="7" t="inlineStr">
        <is>
          <t>March 17, 2026</t>
        </is>
      </c>
      <c r="G193" s="7" t="inlineStr">
        <is>
          <t>searched, not cited in a cell</t>
        </is>
      </c>
    </row>
    <row r="194">
      <c r="B194" s="6" t="inlineStr">
        <is>
          <t>S189</t>
        </is>
      </c>
      <c r="C194" s="6" t="inlineStr">
        <is>
          <t>GridBeyond Lands 12 Million Euro Investment from Samsung Ventures | INN</t>
        </is>
      </c>
      <c r="D194" s="6" t="inlineStr">
        <is>
          <t>https://investingnews.com/samsung-ventures-funds-gridbeyond/</t>
        </is>
      </c>
      <c r="E194" s="6" t="inlineStr">
        <is>
          <t>2026-09-28</t>
        </is>
      </c>
      <c r="F194" s="6" t="inlineStr">
        <is>
          <t>March 18, 2026</t>
        </is>
      </c>
      <c r="G194" s="6" t="inlineStr">
        <is>
          <t>searched, not cited in a cell</t>
        </is>
      </c>
    </row>
    <row r="195">
      <c r="B195" s="7" t="inlineStr">
        <is>
          <t>S190</t>
        </is>
      </c>
      <c r="C195" s="7" t="inlineStr">
        <is>
          <t>Quinbrook acquires Habitat Energy | Energy Global</t>
        </is>
      </c>
      <c r="D195" s="7" t="inlineStr">
        <is>
          <t>https://www.energyglobal.com/energy-storage/01122021/quinbrook-acquires-habitat-energy/</t>
        </is>
      </c>
      <c r="E195" s="7" t="inlineStr">
        <is>
          <t>2026-09-28</t>
        </is>
      </c>
      <c r="F195" s="7" t="inlineStr">
        <is>
          <t>December 1, 2021</t>
        </is>
      </c>
      <c r="G195" s="7" t="inlineStr">
        <is>
          <t>searched, not cited in a cell</t>
        </is>
      </c>
    </row>
    <row r="196">
      <c r="B196" s="6" t="inlineStr">
        <is>
          <t>S191</t>
        </is>
      </c>
      <c r="C196" s="6" t="inlineStr">
        <is>
          <t>Habitat Energy acquired by Quinbrook Infrastructure Partners - Crunchbase Acquisition Profile</t>
        </is>
      </c>
      <c r="D196" s="6" t="inlineStr">
        <is>
          <t>https://www.crunchbase.com/acquisition/quinbrook-infrastructure-partners-acquires-habitat-energy--c46bac20</t>
        </is>
      </c>
      <c r="E196" s="6" t="inlineStr">
        <is>
          <t>2026-09-28</t>
        </is>
      </c>
      <c r="F196" s="6" t="inlineStr"/>
      <c r="G196" s="6" t="inlineStr">
        <is>
          <t>searched, not cited in a cell</t>
        </is>
      </c>
    </row>
    <row r="197">
      <c r="B197" s="7" t="inlineStr">
        <is>
          <t>S192</t>
        </is>
      </c>
      <c r="C197" s="7" t="inlineStr">
        <is>
          <t>Energy, Automobile, EV, Renewable News | Quinbrook Acquires Habitat Energy</t>
        </is>
      </c>
      <c r="D197" s="7" t="inlineStr">
        <is>
          <t>https://oilandgaspress.com/quinbrook-acquires-habitat-energy/</t>
        </is>
      </c>
      <c r="E197" s="7" t="inlineStr">
        <is>
          <t>2026-09-28</t>
        </is>
      </c>
      <c r="F197" s="7" t="inlineStr"/>
      <c r="G197" s="7" t="inlineStr">
        <is>
          <t>searched, not cited in a cell</t>
        </is>
      </c>
    </row>
    <row r="198">
      <c r="B198" s="6" t="inlineStr">
        <is>
          <t>S193</t>
        </is>
      </c>
      <c r="C198" s="6" t="inlineStr">
        <is>
          <t>www.businesswire.com</t>
        </is>
      </c>
      <c r="D198" s="6" t="inlineStr">
        <is>
          <t>https://www.businesswire.com/news/home/20221012005445/en</t>
        </is>
      </c>
      <c r="E198" s="6" t="inlineStr">
        <is>
          <t>2026-09-28</t>
        </is>
      </c>
      <c r="F198" s="6" t="inlineStr"/>
      <c r="G198" s="6" t="inlineStr">
        <is>
          <t>searched, not cited in a cell</t>
        </is>
      </c>
    </row>
    <row r="199">
      <c r="B199" s="7" t="inlineStr">
        <is>
          <t>S194</t>
        </is>
      </c>
      <c r="C199" s="7" t="inlineStr">
        <is>
          <t>Quinbrook Closes 600m SolarStorage %E2%80%98Continuation Fund%E2%80%99</t>
        </is>
      </c>
      <c r="D199" s="7" t="inlineStr">
        <is>
          <t>https://www.businesswire.com/news/home/20240403069935/en/Quinbrook-Closes-600m-SolarStorage-%E2%80%98Continuation-Fund%E2%80%99</t>
        </is>
      </c>
      <c r="E199" s="7" t="inlineStr">
        <is>
          <t>2026-09-28</t>
        </is>
      </c>
      <c r="F199" s="7" t="inlineStr"/>
      <c r="G199" s="7" t="inlineStr">
        <is>
          <t>searched, not cited in a cell</t>
        </is>
      </c>
    </row>
    <row r="200">
      <c r="B200" s="6" t="inlineStr">
        <is>
          <t>S195</t>
        </is>
      </c>
      <c r="C200" s="6" t="inlineStr">
        <is>
          <t>Fluence Energy, Inc. Reports Fourth Quarter and Full Fiscal ...</t>
        </is>
      </c>
      <c r="D200" s="6" t="inlineStr">
        <is>
          <t>https://www.sec.gov/Archives/edgar/data/1868941/000186894122000114/flncq4andfullfy22earningsp.htm</t>
        </is>
      </c>
      <c r="E200" s="6" t="inlineStr">
        <is>
          <t>2026-09-28</t>
        </is>
      </c>
      <c r="F200" s="6" t="inlineStr"/>
      <c r="G200" s="6" t="inlineStr">
        <is>
          <t>searched, not cited in a cell</t>
        </is>
      </c>
    </row>
    <row r="201">
      <c r="B201" s="7" t="inlineStr">
        <is>
          <t>S196</t>
        </is>
      </c>
      <c r="C201" s="7" t="inlineStr">
        <is>
          <t>Fluence Energy, Inc. Reports 2025 Financial Results and Initiates 2026 Guidance | Nasdaq</t>
        </is>
      </c>
      <c r="D201" s="7" t="inlineStr">
        <is>
          <t>https://www.nasdaq.com/press-release/fluence-energy-inc-reports-2025-financial-results-and-initiates-2026-guidance-2025-11</t>
        </is>
      </c>
      <c r="E201" s="7" t="inlineStr">
        <is>
          <t>2026-09-28</t>
        </is>
      </c>
      <c r="F201" s="7" t="inlineStr">
        <is>
          <t>November 24, 2025</t>
        </is>
      </c>
      <c r="G201" s="7" t="inlineStr">
        <is>
          <t>searched, not cited in a cell</t>
        </is>
      </c>
    </row>
    <row r="202">
      <c r="B202" s="6" t="inlineStr">
        <is>
          <t>S197</t>
        </is>
      </c>
      <c r="C202" s="6" t="inlineStr">
        <is>
          <t>Fluence (FLNC) Q4 2025 Earnings Call Transcript | The Motley Fool</t>
        </is>
      </c>
      <c r="D202" s="6" t="inlineStr">
        <is>
          <t>https://www.fool.com/earnings/call-transcripts/2025/11/27/fluence-flnc-q4-2025-earnings-call-transcript/</t>
        </is>
      </c>
      <c r="E202" s="6" t="inlineStr">
        <is>
          <t>2026-09-28</t>
        </is>
      </c>
      <c r="F202" s="6" t="inlineStr">
        <is>
          <t>November 27, 2025</t>
        </is>
      </c>
      <c r="G202" s="6" t="inlineStr">
        <is>
          <t>searched, not cited in a cell</t>
        </is>
      </c>
    </row>
    <row r="203">
      <c r="B203" s="7" t="inlineStr">
        <is>
          <t>S198</t>
        </is>
      </c>
      <c r="C203" s="7" t="inlineStr">
        <is>
          <t>Fluence Energy, Inc. Reports 2025 Financial Results and Initiates 2026 Guidance</t>
        </is>
      </c>
      <c r="D203" s="7" t="inlineStr">
        <is>
          <t>https://www.globenewswire.com/news-release/2025/11/24/3193926/0/en/Fluence-Energy-Inc-Reports-2025-Financial-Results-and-Initiates-2026-Guidance.html</t>
        </is>
      </c>
      <c r="E203" s="7" t="inlineStr">
        <is>
          <t>2026-09-28</t>
        </is>
      </c>
      <c r="F203" s="7" t="inlineStr">
        <is>
          <t>November 24, 2025</t>
        </is>
      </c>
      <c r="G203" s="7" t="inlineStr">
        <is>
          <t>searched, not cited in a cell</t>
        </is>
      </c>
    </row>
    <row r="204">
      <c r="B204" s="6" t="inlineStr">
        <is>
          <t>S199</t>
        </is>
      </c>
      <c r="C204" s="6" t="inlineStr">
        <is>
          <t>Fluence Energy FY2025 slides: Record backlog and domestic focus drive stock surge By Investing.com</t>
        </is>
      </c>
      <c r="D204" s="6" t="inlineStr">
        <is>
          <t>https://www.investing.com/news/company-news/fluence-energy-fy2025-slides-record-backlog-and-domestic-focus-drive-stock-surge-93CH-4377722</t>
        </is>
      </c>
      <c r="E204" s="6" t="inlineStr">
        <is>
          <t>2026-09-28</t>
        </is>
      </c>
      <c r="F204" s="6" t="inlineStr">
        <is>
          <t>November 25, 2025</t>
        </is>
      </c>
      <c r="G204" s="6" t="inlineStr">
        <is>
          <t>searched, not cited in a cell</t>
        </is>
      </c>
    </row>
    <row r="205">
      <c r="B205" s="7" t="inlineStr">
        <is>
          <t>S200</t>
        </is>
      </c>
      <c r="C205" s="7" t="inlineStr">
        <is>
          <t>Battery energy storage revenues for ancillary services fall nearly 90% in ERCOT - pv magazine USA</t>
        </is>
      </c>
      <c r="D205" s="7" t="inlineStr">
        <is>
          <t>https://pv-magazine-usa.com/2025/11/21/battery-energy-storage-revenues-for-ancillary-services-fall-nearly-90-in-ercot/</t>
        </is>
      </c>
      <c r="E205" s="7" t="inlineStr">
        <is>
          <t>2026-09-28</t>
        </is>
      </c>
      <c r="F205" s="7" t="inlineStr">
        <is>
          <t>March 12, 2026</t>
        </is>
      </c>
      <c r="G205" s="7" t="inlineStr">
        <is>
          <t>'Risks'!B7</t>
        </is>
      </c>
    </row>
    <row r="206">
      <c r="B206" s="6" t="inlineStr">
        <is>
          <t>S201</t>
        </is>
      </c>
      <c r="C206" s="6" t="inlineStr">
        <is>
          <t>Battery energy storage revenues for ancillary services fall nearly 90% in ERCOT - Energy Storage</t>
        </is>
      </c>
      <c r="D206" s="6" t="inlineStr">
        <is>
          <t>https://www.ess-news.com/2025/11/25/battery-energy-storage-revenues-for-ancillary-services-fall-nearly-90-in-ercot/</t>
        </is>
      </c>
      <c r="E206" s="6" t="inlineStr">
        <is>
          <t>2026-09-28</t>
        </is>
      </c>
      <c r="F206" s="6" t="inlineStr">
        <is>
          <t>November 25, 2025</t>
        </is>
      </c>
      <c r="G206" s="6" t="inlineStr">
        <is>
          <t>searched, not cited in a cell</t>
        </is>
      </c>
    </row>
    <row r="207">
      <c r="B207" s="7" t="inlineStr">
        <is>
          <t>S202</t>
        </is>
      </c>
      <c r="C207" s="7" t="inlineStr">
        <is>
          <t>ERCOT battery profits drop as market saturation reshapes Texas storage</t>
        </is>
      </c>
      <c r="D207" s="7" t="inlineStr">
        <is>
          <t>https://www.enverus.com/newsroom/ercot-battery-profits-drop-as-market-saturation-reshapes-texas-storage/</t>
        </is>
      </c>
      <c r="E207" s="7" t="inlineStr">
        <is>
          <t>2026-09-28</t>
        </is>
      </c>
      <c r="F207" s="7" t="inlineStr">
        <is>
          <t>March 18, 2026</t>
        </is>
      </c>
      <c r="G207" s="7" t="inlineStr">
        <is>
          <t>searched, not cited in a cell</t>
        </is>
      </c>
    </row>
    <row r="208">
      <c r="B208" s="6" t="inlineStr">
        <is>
          <t>S203</t>
        </is>
      </c>
      <c r="C208" s="6" t="inlineStr">
        <is>
          <t>ERCOT: How to maximize revenues across Ancillary Services and Energy - Research | Modo Energy</t>
        </is>
      </c>
      <c r="D208" s="6" t="inlineStr">
        <is>
          <t>https://modoenergy.com/research/en/ercot-battery-energy-storage-ancillary-service-offers-volumes-prices-saturation-revenues-strategy-2025</t>
        </is>
      </c>
      <c r="E208" s="6" t="inlineStr">
        <is>
          <t>2026-09-28</t>
        </is>
      </c>
      <c r="F208" s="6" t="inlineStr">
        <is>
          <t>April 21, 2025</t>
        </is>
      </c>
      <c r="G208" s="6" t="inlineStr">
        <is>
          <t>searched, not cited in a cell</t>
        </is>
      </c>
    </row>
    <row r="209">
      <c r="B209" s="7" t="inlineStr">
        <is>
          <t>S204</t>
        </is>
      </c>
      <c r="C209" s="7" t="inlineStr">
        <is>
          <t>Texas: A high stakes frontier for US battery energy storage systems - Rabobank</t>
        </is>
      </c>
      <c r="D209" s="7" t="inlineStr">
        <is>
          <t>https://www.rabobank.com/knowledge/d011484585-texas-a-high-stakes-frontier-for-us-battery-energy-storage-systems</t>
        </is>
      </c>
      <c r="E209" s="7" t="inlineStr">
        <is>
          <t>2026-09-28</t>
        </is>
      </c>
      <c r="F209" s="7" t="inlineStr">
        <is>
          <t>July 28, 2026</t>
        </is>
      </c>
      <c r="G209" s="7" t="inlineStr">
        <is>
          <t>searched, not cited in a cell</t>
        </is>
      </c>
    </row>
    <row r="210">
      <c r="B210" s="6" t="inlineStr">
        <is>
          <t>S205</t>
        </is>
      </c>
      <c r="C210" s="6" t="inlineStr">
        <is>
          <t>ERCOT: Are Ancillary Services now saturated with battery energy storage? - Research | Modo Energy</t>
        </is>
      </c>
      <c r="D210" s="6" t="inlineStr">
        <is>
          <t>https://modoenergy.com/research/ercot-ancillary-services-saturation-battery-energy-storage-clearing-prices-all-time-low-offer-price-comparison-june-july-2024</t>
        </is>
      </c>
      <c r="E210" s="6" t="inlineStr">
        <is>
          <t>2026-09-28</t>
        </is>
      </c>
      <c r="F210" s="6" t="inlineStr"/>
      <c r="G210" s="6" t="inlineStr">
        <is>
          <t>searched, not cited in a cell</t>
        </is>
      </c>
    </row>
    <row r="211">
      <c r="B211" s="7" t="inlineStr">
        <is>
          <t>S206</t>
        </is>
      </c>
      <c r="C211" s="7" t="inlineStr">
        <is>
          <t>ERCOT's Ancillary Services Market Is Sized by Forecast Error, Not by Load | HackerNoon</t>
        </is>
      </c>
      <c r="D211" s="7" t="inlineStr">
        <is>
          <t>https://hackernoon.com/ercots-ancillary-services-market-is-sized-by-forecast-error-not-by-load</t>
        </is>
      </c>
      <c r="E211" s="7" t="inlineStr">
        <is>
          <t>2026-09-28</t>
        </is>
      </c>
      <c r="F211" s="7" t="inlineStr">
        <is>
          <t>1 day ago</t>
        </is>
      </c>
      <c r="G211" s="7" t="inlineStr">
        <is>
          <t>searched, not cited in a cell</t>
        </is>
      </c>
    </row>
    <row r="212">
      <c r="B212" s="6" t="inlineStr">
        <is>
          <t>S207</t>
        </is>
      </c>
      <c r="C212" s="6" t="inlineStr">
        <is>
          <t>LFP BESS Revenue Stacking 2026: Applications in ERCOT and CAISO - Battery Energy Storage System (BESS) Manufacturer | LFP &amp; Sodium-Ion</t>
        </is>
      </c>
      <c r="D212" s="6" t="inlineStr">
        <is>
          <t>https://nextgpower.com/lfp-bess-revenue-stacking-2026-applications-in-ercot-and-caiso/</t>
        </is>
      </c>
      <c r="E212" s="6" t="inlineStr">
        <is>
          <t>2026-09-28</t>
        </is>
      </c>
      <c r="F212" s="6" t="inlineStr">
        <is>
          <t>July 27, 2026</t>
        </is>
      </c>
      <c r="G212" s="6" t="inlineStr">
        <is>
          <t>searched, not cited in a cell</t>
        </is>
      </c>
    </row>
    <row r="213">
      <c r="B213" s="7" t="inlineStr">
        <is>
          <t>S208</t>
        </is>
      </c>
      <c r="C213" s="7" t="inlineStr">
        <is>
          <t>New fire breaks out at Moss Landing battery plant in California - CBS San Francisco</t>
        </is>
      </c>
      <c r="D213" s="7" t="inlineStr">
        <is>
          <t>https://www.cbsnews.com/sanfrancisco/news/moss-landing-power-plant-fire-september-18-2026-shelter-in-place/</t>
        </is>
      </c>
      <c r="E213" s="7" t="inlineStr">
        <is>
          <t>2026-09-28</t>
        </is>
      </c>
      <c r="F213" s="7" t="inlineStr">
        <is>
          <t>1 week ago</t>
        </is>
      </c>
      <c r="G213" s="7" t="inlineStr">
        <is>
          <t>'Risks'!B27</t>
        </is>
      </c>
    </row>
    <row r="214">
      <c r="B214" s="6" t="inlineStr">
        <is>
          <t>S209</t>
        </is>
      </c>
      <c r="C214" s="6" t="inlineStr">
        <is>
          <t>Moss Landing battery storage fire flares up again, raising new safety fears in California</t>
        </is>
      </c>
      <c r="D214" s="6" t="inlineStr">
        <is>
          <t>https://calmatters.org/environment/2026/09/moss-landing-battery-fire-reignites-fears/</t>
        </is>
      </c>
      <c r="E214" s="6" t="inlineStr">
        <is>
          <t>2026-09-28</t>
        </is>
      </c>
      <c r="F214" s="6" t="inlineStr">
        <is>
          <t>1 week ago</t>
        </is>
      </c>
      <c r="G214" s="6" t="inlineStr">
        <is>
          <t>'Risks'!B27</t>
        </is>
      </c>
    </row>
    <row r="215">
      <c r="B215" s="7" t="inlineStr">
        <is>
          <t>S210</t>
        </is>
      </c>
      <c r="C215" s="7" t="inlineStr">
        <is>
          <t>Moss Landing Power Plant Fire Sparks Shelter-in-Place Order</t>
        </is>
      </c>
      <c r="D215" s="7" t="inlineStr">
        <is>
          <t>https://hoodline.com/2026/09/new-fire-erupts-at-moss-landing-plant-that-burned-in-2025-battery-disaster/</t>
        </is>
      </c>
      <c r="E215" s="7" t="inlineStr">
        <is>
          <t>2026-09-28</t>
        </is>
      </c>
      <c r="F215" s="7" t="inlineStr">
        <is>
          <t>1 week ago</t>
        </is>
      </c>
      <c r="G215" s="7" t="inlineStr">
        <is>
          <t>'Risks'!B27</t>
        </is>
      </c>
    </row>
    <row r="216">
      <c r="B216" s="6" t="inlineStr">
        <is>
          <t>S211</t>
        </is>
      </c>
      <c r="C216" s="6" t="inlineStr">
        <is>
          <t>Moss Landing battery storage fire flares up again, raising new safety fears in California - Palo Alto Online</t>
        </is>
      </c>
      <c r="D216" s="6" t="inlineStr">
        <is>
          <t>https://www.paloaltoonline.com/calmatters/2026/09/18/moss-landing-battery-storage-fire-flares-up-again-raising-new-safety-fears-in-california/</t>
        </is>
      </c>
      <c r="E216" s="6" t="inlineStr">
        <is>
          <t>2026-09-28</t>
        </is>
      </c>
      <c r="F216" s="6" t="inlineStr">
        <is>
          <t>1 week ago</t>
        </is>
      </c>
      <c r="G216" s="6" t="inlineStr">
        <is>
          <t>searched, not cited in a cell</t>
        </is>
      </c>
    </row>
    <row r="217">
      <c r="B217" s="7" t="inlineStr">
        <is>
          <t>S212</t>
        </is>
      </c>
      <c r="C217" s="7" t="inlineStr">
        <is>
          <t>After Moss Landing, what’s next for battery storage? | Utility Dive</t>
        </is>
      </c>
      <c r="D217" s="7" t="inlineStr">
        <is>
          <t>https://www.utilitydive.com/news/moss-landing-fire-battery-storage-industry-lithium/741283/</t>
        </is>
      </c>
      <c r="E217" s="7" t="inlineStr">
        <is>
          <t>2026-09-28</t>
        </is>
      </c>
      <c r="F217" s="7" t="inlineStr">
        <is>
          <t>February 28, 2025</t>
        </is>
      </c>
      <c r="G217" s="7" t="inlineStr">
        <is>
          <t>searched, not cited in a cell</t>
        </is>
      </c>
    </row>
    <row r="218">
      <c r="B218" s="6" t="inlineStr">
        <is>
          <t>S213</t>
        </is>
      </c>
      <c r="C218" s="6" t="inlineStr">
        <is>
          <t>Community Opposition to Battery Storage Projects Spreads Across U.S. | Energy Tech News</t>
        </is>
      </c>
      <c r="D218" s="6" t="inlineStr">
        <is>
          <t>https://energytech-news.com/community-opposition-to-battery-storage-projects</t>
        </is>
      </c>
      <c r="E218" s="6" t="inlineStr">
        <is>
          <t>2026-09-28</t>
        </is>
      </c>
      <c r="F218" s="6" t="inlineStr">
        <is>
          <t>May 29, 2026</t>
        </is>
      </c>
      <c r="G218" s="6" t="inlineStr">
        <is>
          <t>searched, not cited in a cell</t>
        </is>
      </c>
    </row>
    <row r="219">
      <c r="B219" s="7" t="inlineStr">
        <is>
          <t>S214</t>
        </is>
      </c>
      <c r="C219" s="7" t="inlineStr">
        <is>
          <t>Free Trial</t>
        </is>
      </c>
      <c r="D219" s="7" t="inlineStr">
        <is>
          <t>https://www.marketbeat.com/articles/fears-of-massive-battery-fires-spark-local-opposition-to-energy-storage-projects-2025-10-04</t>
        </is>
      </c>
      <c r="E219" s="7" t="inlineStr">
        <is>
          <t>2026-09-28</t>
        </is>
      </c>
      <c r="F219" s="7" t="inlineStr"/>
      <c r="G219" s="7" t="inlineStr">
        <is>
          <t>searched, not cited in a cell</t>
        </is>
      </c>
    </row>
    <row r="220">
      <c r="B220" s="6" t="inlineStr">
        <is>
          <t>S215</t>
        </is>
      </c>
      <c r="C220" s="6" t="inlineStr">
        <is>
          <t>Moss Landing residents file lawsuit over Northern California lithium battery facility fire</t>
        </is>
      </c>
      <c r="D220" s="6" t="inlineStr">
        <is>
          <t>https://www.cbsnews.com/amp/sanfrancisco/news/moss-landing-lawsuit-northern-california-lithium-battery-facility-fire</t>
        </is>
      </c>
      <c r="E220" s="6" t="inlineStr">
        <is>
          <t>2026-09-28</t>
        </is>
      </c>
      <c r="F220" s="6" t="inlineStr"/>
      <c r="G220" s="6" t="inlineStr">
        <is>
          <t>searched, not cited in a cell</t>
        </is>
      </c>
    </row>
    <row r="221">
      <c r="B221" s="7" t="inlineStr">
        <is>
          <t>S216</t>
        </is>
      </c>
      <c r="C221" s="7" t="inlineStr">
        <is>
          <t>Watch CBS News</t>
        </is>
      </c>
      <c r="D221" s="7" t="inlineStr">
        <is>
          <t>https://www.cbsnews.com/sanfrancisco/news/moss-landing-lawsuit-northern-california-lithium-battery-facility-fire</t>
        </is>
      </c>
      <c r="E221" s="7" t="inlineStr">
        <is>
          <t>2026-09-28</t>
        </is>
      </c>
      <c r="F221" s="7" t="inlineStr"/>
      <c r="G221" s="7" t="inlineStr">
        <is>
          <t>searched, not cited in a cell</t>
        </is>
      </c>
    </row>
    <row r="222">
      <c r="B222" s="6" t="inlineStr">
        <is>
          <t>S217</t>
        </is>
      </c>
      <c r="C222" s="6" t="inlineStr">
        <is>
          <t>New FEOC Guidance: Notice 2026-15</t>
        </is>
      </c>
      <c r="D222" s="6" t="inlineStr">
        <is>
          <t>https://www.projectfinance.law/publications/new-feoc-guidance-notice-2026-15</t>
        </is>
      </c>
      <c r="E222" s="6" t="inlineStr">
        <is>
          <t>2026-09-28</t>
        </is>
      </c>
      <c r="F222" s="6" t="inlineStr">
        <is>
          <t>April 9, 2026</t>
        </is>
      </c>
      <c r="G222" s="6" t="inlineStr">
        <is>
          <t>'Risks'!B32</t>
        </is>
      </c>
    </row>
    <row r="223">
      <c r="B223" s="7" t="inlineStr">
        <is>
          <t>S218</t>
        </is>
      </c>
      <c r="C223" s="7" t="inlineStr">
        <is>
          <t>The Prohibited Foreign Entity (Or FEOC) Rules And Battery Storage - Corporate Tax - Worldwide</t>
        </is>
      </c>
      <c r="D223" s="7" t="inlineStr">
        <is>
          <t>https://www.mondaq.com/unitedstates/corporate-tax/1818868/the-prohibited-foreign-entity-or-feoc-rules-and-battery-storage</t>
        </is>
      </c>
      <c r="E223" s="7" t="inlineStr">
        <is>
          <t>2026-09-28</t>
        </is>
      </c>
      <c r="F223" s="7" t="inlineStr">
        <is>
          <t>July 17, 2026</t>
        </is>
      </c>
      <c r="G223" s="7" t="inlineStr">
        <is>
          <t>'Risks'!B32</t>
        </is>
      </c>
    </row>
    <row r="224">
      <c r="B224" s="6" t="inlineStr">
        <is>
          <t>S219</t>
        </is>
      </c>
      <c r="C224" s="6" t="inlineStr">
        <is>
          <t>FEOC Rules and Energy Storage Tax Credit Eligibility</t>
        </is>
      </c>
      <c r="D224" s="6" t="inlineStr">
        <is>
          <t>https://www.morganlewis.com/pubs/2026/03/how-feoc-rules-are-reshaping-energy-storage-tax-credit-eligibility</t>
        </is>
      </c>
      <c r="E224" s="6" t="inlineStr">
        <is>
          <t>2026-09-28</t>
        </is>
      </c>
      <c r="F224" s="6" t="inlineStr">
        <is>
          <t>March 13, 2026</t>
        </is>
      </c>
      <c r="G224" s="6" t="inlineStr">
        <is>
          <t>'Risks'!B32</t>
        </is>
      </c>
    </row>
    <row r="225">
      <c r="B225" s="7" t="inlineStr">
        <is>
          <t>S220</t>
        </is>
      </c>
      <c r="C225" s="7" t="inlineStr">
        <is>
          <t>The Prohibited Foreign Entity (or FEOC) Rules and Battery Storage | Energy &amp; Climate Counsel | Foley Hoag LLP</t>
        </is>
      </c>
      <c r="D225" s="7" t="inlineStr">
        <is>
          <t>https://foleyhoag.com/news-and-insights/blogs/energy-and-climate-counsel/2026/july/the-prohibited-foreign-entity-(or-feoc)-rules-and-battery-storage/</t>
        </is>
      </c>
      <c r="E225" s="7" t="inlineStr">
        <is>
          <t>2026-09-28</t>
        </is>
      </c>
      <c r="F225" s="7" t="inlineStr">
        <is>
          <t>July 16, 2026</t>
        </is>
      </c>
      <c r="G225" s="7" t="inlineStr">
        <is>
          <t>searched, not cited in a cell</t>
        </is>
      </c>
    </row>
    <row r="226">
      <c r="B226" s="6" t="inlineStr">
        <is>
          <t>S221</t>
        </is>
      </c>
      <c r="C226" s="6" t="inlineStr">
        <is>
          <t>The 'One, Big, Beautiful Bill Act' brought changes, some clarity to US energy storage development - Energy-Storage.News</t>
        </is>
      </c>
      <c r="D226" s="6" t="inlineStr">
        <is>
          <t>https://www.energy-storage.news/the-one-big-beautiful-bill-act-brought-changes-some-clarity-to-us-energy-storage-development/</t>
        </is>
      </c>
      <c r="E226" s="6" t="inlineStr">
        <is>
          <t>2026-09-28</t>
        </is>
      </c>
      <c r="F226" s="6" t="inlineStr">
        <is>
          <t>October 1, 2025</t>
        </is>
      </c>
      <c r="G226" s="6" t="inlineStr">
        <is>
          <t>searched, not cited in a cell</t>
        </is>
      </c>
    </row>
    <row r="227">
      <c r="B227" s="7" t="inlineStr">
        <is>
          <t>S222</t>
        </is>
      </c>
      <c r="C227" s="7" t="inlineStr">
        <is>
          <t>Unpacking the FEOC Provisions in H.R. 1, the One Big Beautiful Bill Act</t>
        </is>
      </c>
      <c r="D227" s="7" t="inlineStr">
        <is>
          <t>https://bipartisanpolicy.org/explainer/unpacking-the-feoc-provisions-in-the-one-big-beautiful-bill-act/</t>
        </is>
      </c>
      <c r="E227" s="7" t="inlineStr">
        <is>
          <t>2026-09-28</t>
        </is>
      </c>
      <c r="F227" s="7" t="inlineStr">
        <is>
          <t>January 23, 2026</t>
        </is>
      </c>
      <c r="G227" s="7" t="inlineStr">
        <is>
          <t>searched, not cited in a cell</t>
        </is>
      </c>
    </row>
    <row r="228">
      <c r="B228" s="6" t="inlineStr">
        <is>
          <t>S223</t>
        </is>
      </c>
      <c r="C228" s="6" t="inlineStr">
        <is>
          <t>IRS Releases Initial FEOC Guidance, Answers Key Questions, Leaves Others Unanswered - McGuireWoods</t>
        </is>
      </c>
      <c r="D228" s="6" t="inlineStr">
        <is>
          <t>https://www.mcguirewoods.com/client-resources/alerts/2026/3/irs-releases-initial-feoc-guidance-answers-key-questions-leaves-others-unanswered/</t>
        </is>
      </c>
      <c r="E228" s="6" t="inlineStr">
        <is>
          <t>2026-09-28</t>
        </is>
      </c>
      <c r="F228" s="6" t="inlineStr">
        <is>
          <t>May 15, 2026</t>
        </is>
      </c>
      <c r="G228" s="6" t="inlineStr">
        <is>
          <t>searched, not cited in a cell</t>
        </is>
      </c>
    </row>
    <row r="229">
      <c r="B229" s="7" t="inlineStr">
        <is>
          <t>S224</t>
        </is>
      </c>
      <c r="C229" s="7" t="inlineStr">
        <is>
          <t>Treasury, IRS provide guidance for certain energy tax credits regarding material assistance provided by prohibited foreign entities under the One, Big</t>
        </is>
      </c>
      <c r="D229" s="7" t="inlineStr">
        <is>
          <t>https://www.irs.gov/newsroom/treasury-irs-provide-guidance-for-certain-energy-tax-credits-regarding-material-assistance-provided-by-prohibited-foreign-entities-under-the-one-big-beautiful-bill</t>
        </is>
      </c>
      <c r="E229" s="7" t="inlineStr">
        <is>
          <t>2026-09-28</t>
        </is>
      </c>
      <c r="F229" s="7" t="inlineStr"/>
      <c r="G229" s="7" t="inlineStr">
        <is>
          <t>searched, not cited in a cell</t>
        </is>
      </c>
    </row>
    <row r="230">
      <c r="B230" s="6" t="inlineStr">
        <is>
          <t>S225</t>
        </is>
      </c>
      <c r="C230" s="6" t="inlineStr">
        <is>
          <t>Battery Storage’s Tax Credit Catch</t>
        </is>
      </c>
      <c r="D230" s="6" t="inlineStr">
        <is>
          <t>https://us-taxdesk.com/posts/battery-storage-tax-credit-2026</t>
        </is>
      </c>
      <c r="E230" s="6" t="inlineStr">
        <is>
          <t>2026-09-28</t>
        </is>
      </c>
      <c r="F230" s="6" t="inlineStr">
        <is>
          <t>July 24, 2026</t>
        </is>
      </c>
      <c r="G230" s="6" t="inlineStr">
        <is>
          <t>searched, not cited in a cell</t>
        </is>
      </c>
    </row>
    <row r="231">
      <c r="B231" s="7" t="inlineStr">
        <is>
          <t>S226</t>
        </is>
      </c>
      <c r="C231" s="7" t="inlineStr">
        <is>
          <t>Project Financing Trends for Global Energy Storage Projects in 2026 and Beyond</t>
        </is>
      </c>
      <c r="D231" s="7" t="inlineStr">
        <is>
          <t>https://www.morganlewis.com/pubs/2026/03/project-financing-trends-for-global-energy-storage-projects-in-2026-and-beyond</t>
        </is>
      </c>
      <c r="E231" s="7" t="inlineStr">
        <is>
          <t>2026-09-28</t>
        </is>
      </c>
      <c r="F231" s="7" t="inlineStr">
        <is>
          <t>March 13, 2026</t>
        </is>
      </c>
      <c r="G231" s="7" t="inlineStr">
        <is>
          <t>'Risks'!B37</t>
        </is>
      </c>
    </row>
    <row r="232">
      <c r="B232" s="6" t="inlineStr">
        <is>
          <t>S227</t>
        </is>
      </c>
      <c r="C232" s="6" t="inlineStr">
        <is>
          <t>BBDF 2026: finance, tolling, and getting the merchant balance right - Energy Storage</t>
        </is>
      </c>
      <c r="D232" s="6" t="inlineStr">
        <is>
          <t>https://www.ess-news.com/2026/03/31/bbdf-2026-finance-tolling-and-getting-the-merchant-balance-right/</t>
        </is>
      </c>
      <c r="E232" s="6" t="inlineStr">
        <is>
          <t>2026-09-28</t>
        </is>
      </c>
      <c r="F232" s="6" t="inlineStr">
        <is>
          <t>April 13, 2026</t>
        </is>
      </c>
      <c r="G232" s="6" t="inlineStr">
        <is>
          <t>'Risks'!B37</t>
        </is>
      </c>
    </row>
    <row r="233">
      <c r="B233" s="7" t="inlineStr">
        <is>
          <t>S228</t>
        </is>
      </c>
      <c r="C233" s="7" t="inlineStr">
        <is>
          <t>BESS revenue models: tolling, floor &amp; fully merchant</t>
        </is>
      </c>
      <c r="D233" s="7" t="inlineStr">
        <is>
          <t>https://www.enspired-trading.com/blog/bess-revenue-models-toll-floor-fully-merchant</t>
        </is>
      </c>
      <c r="E233" s="7" t="inlineStr">
        <is>
          <t>2026-09-28</t>
        </is>
      </c>
      <c r="F233" s="7" t="inlineStr">
        <is>
          <t>February 4, 2025</t>
        </is>
      </c>
      <c r="G233" s="7" t="inlineStr">
        <is>
          <t>searched, not cited in a cell</t>
        </is>
      </c>
    </row>
    <row r="234">
      <c r="B234" s="6" t="inlineStr">
        <is>
          <t>S229</t>
        </is>
      </c>
      <c r="C234" s="6" t="inlineStr">
        <is>
          <t>BESS revenue: tolls, floors and merchant models | GridBeyond</t>
        </is>
      </c>
      <c r="D234" s="6" t="inlineStr">
        <is>
          <t>https://gridbeyond.com/bess-revenue-tolls-floors-and-merchant-models/</t>
        </is>
      </c>
      <c r="E234" s="6" t="inlineStr">
        <is>
          <t>2026-09-28</t>
        </is>
      </c>
      <c r="F234" s="6" t="inlineStr">
        <is>
          <t>September 1, 2025</t>
        </is>
      </c>
      <c r="G234" s="6" t="inlineStr">
        <is>
          <t>searched, not cited in a cell</t>
        </is>
      </c>
    </row>
    <row r="235">
      <c r="B235" s="7" t="inlineStr">
        <is>
          <t>S230</t>
        </is>
      </c>
      <c r="C235" s="7" t="inlineStr">
        <is>
          <t>Securing Financing for Energy Storage Projects: The 2026 Strategic Guide - Foton Energy (Foton Pty Ltd)</t>
        </is>
      </c>
      <c r="D235" s="7" t="inlineStr">
        <is>
          <t>https://blog.fotonenergy.com/post/securing-financing-for-energy-storage-projects-the-2026-strategic-guide</t>
        </is>
      </c>
      <c r="E235" s="7" t="inlineStr">
        <is>
          <t>2026-09-28</t>
        </is>
      </c>
      <c r="F235" s="7" t="inlineStr">
        <is>
          <t>July 4, 2026</t>
        </is>
      </c>
      <c r="G235" s="7" t="inlineStr">
        <is>
          <t>searched, not cited in a cell</t>
        </is>
      </c>
    </row>
    <row r="236">
      <c r="B236" s="6" t="inlineStr">
        <is>
          <t>S231</t>
        </is>
      </c>
      <c r="C236" s="6" t="inlineStr">
        <is>
          <t>Standalone battery storage project finance underwriting in 2026</t>
        </is>
      </c>
      <c r="D236" s="6" t="inlineStr">
        <is>
          <t>https://sunraisecapital.com/blog/standalone-battery-storage-project-finance-underwriting-2026</t>
        </is>
      </c>
      <c r="E236" s="6" t="inlineStr">
        <is>
          <t>2026-09-28</t>
        </is>
      </c>
      <c r="F236" s="6" t="inlineStr">
        <is>
          <t>June 24, 2026</t>
        </is>
      </c>
      <c r="G236" s="6" t="inlineStr">
        <is>
          <t>searched, not cited in a cell</t>
        </is>
      </c>
    </row>
    <row r="237">
      <c r="B237" s="7" t="inlineStr">
        <is>
          <t>S232</t>
        </is>
      </c>
      <c r="C237" s="7" t="inlineStr">
        <is>
          <t>BESS Revenue Models in 2026: Merchant, Contracted or Hybrid Strategy?</t>
        </is>
      </c>
      <c r="D237" s="7" t="inlineStr">
        <is>
          <t>https://neerajkumarsingal.com/bess-revenue-models-2026-merchant-vs-contracted/</t>
        </is>
      </c>
      <c r="E237" s="7" t="inlineStr">
        <is>
          <t>2026-09-28</t>
        </is>
      </c>
      <c r="F237" s="7" t="inlineStr">
        <is>
          <t>February 16, 2026</t>
        </is>
      </c>
      <c r="G237" s="7" t="inlineStr">
        <is>
          <t>searched, not cited in a cell</t>
        </is>
      </c>
    </row>
    <row r="238">
      <c r="B238" s="6" t="inlineStr">
        <is>
          <t>S233</t>
        </is>
      </c>
      <c r="C238" s="6" t="inlineStr">
        <is>
          <t>BESS Tolling Agreements vs Floor Prices vs Merchant 2026: Contract Structures, Recent Deals and Bankability for Standalone Batteries</t>
        </is>
      </c>
      <c r="D238" s="6" t="inlineStr">
        <is>
          <t>https://howtostoreelectricity.com/bess-tolling-agreements-floor-prices/</t>
        </is>
      </c>
      <c r="E238" s="6" t="inlineStr">
        <is>
          <t>2026-09-28</t>
        </is>
      </c>
      <c r="F238" s="6" t="inlineStr">
        <is>
          <t>May 21, 2026</t>
        </is>
      </c>
      <c r="G238" s="6" t="inlineStr">
        <is>
          <t>searched, not cited in a cell</t>
        </is>
      </c>
    </row>
    <row r="239">
      <c r="B239" s="7" t="inlineStr">
        <is>
          <t>S234</t>
        </is>
      </c>
      <c r="C239" s="7" t="inlineStr">
        <is>
          <t>Battery Energy Storage Project Finance</t>
        </is>
      </c>
      <c r="D239" s="7" t="inlineStr">
        <is>
          <t>https://www.financely.io/battery-energy-storage-project-finance</t>
        </is>
      </c>
      <c r="E239" s="7" t="inlineStr">
        <is>
          <t>2026-09-28</t>
        </is>
      </c>
      <c r="F239" s="7" t="inlineStr">
        <is>
          <t>August 26, 2026</t>
        </is>
      </c>
      <c r="G239" s="7" t="inlineStr">
        <is>
          <t>searched, not cited in a cell</t>
        </is>
      </c>
    </row>
    <row r="240">
      <c r="B240" s="6" t="inlineStr">
        <is>
          <t>S235</t>
        </is>
      </c>
      <c r="C240" s="6" t="inlineStr">
        <is>
          <t>RTC+B: How Real-Time Co-Optimization will affect Ancillary Services for batteries in ERCOT - Research | Modo Energy</t>
        </is>
      </c>
      <c r="D240" s="6" t="inlineStr">
        <is>
          <t>https://modoenergy.com/research/en/rtcb-real-time-cooptimization-rtc-ercot-ancillary-service-duration-soc-management</t>
        </is>
      </c>
      <c r="E240" s="6" t="inlineStr">
        <is>
          <t>2026-09-28</t>
        </is>
      </c>
      <c r="F240" s="6" t="inlineStr">
        <is>
          <t>September 19, 2025</t>
        </is>
      </c>
      <c r="G240" s="6" t="inlineStr">
        <is>
          <t>'Risks'!B7; 'Risks'!B22</t>
        </is>
      </c>
    </row>
    <row r="241">
      <c r="B241" s="7" t="inlineStr">
        <is>
          <t>S236</t>
        </is>
      </c>
      <c r="C241" s="7" t="inlineStr">
        <is>
          <t>ME BESS ERCOT February 2026: Lower spreads test battery strategies - Research | Modo Energy</t>
        </is>
      </c>
      <c r="D241" s="7" t="inlineStr">
        <is>
          <t>https://modoenergy.com/research/en/february-2026-ercot-bess-benchmark-rtcb-revenues-batteries-performance</t>
        </is>
      </c>
      <c r="E241" s="7" t="inlineStr">
        <is>
          <t>2026-09-28</t>
        </is>
      </c>
      <c r="F241" s="7" t="inlineStr">
        <is>
          <t>March 5, 2026</t>
        </is>
      </c>
      <c r="G241" s="7" t="inlineStr">
        <is>
          <t>'Risks'!B22</t>
        </is>
      </c>
    </row>
    <row r="242">
      <c r="B242" s="6" t="inlineStr">
        <is>
          <t>S237</t>
        </is>
      </c>
      <c r="C242" s="6" t="inlineStr">
        <is>
          <t>After RTC+B: What are Top-Performing BESS Operators Doing Differently?</t>
        </is>
      </c>
      <c r="D242" s="6" t="inlineStr">
        <is>
          <t>https://www.ascendanalytics.com/blog/ercot-rtcb-battery-optimization-strategies</t>
        </is>
      </c>
      <c r="E242" s="6" t="inlineStr">
        <is>
          <t>2026-09-28</t>
        </is>
      </c>
      <c r="F242" s="6" t="inlineStr"/>
      <c r="G242" s="6" t="inlineStr">
        <is>
          <t>'Landscape'!B12:J12; 'Landscape'!B13</t>
        </is>
      </c>
    </row>
    <row r="243">
      <c r="B243" s="7" t="inlineStr">
        <is>
          <t>S238</t>
        </is>
      </c>
      <c r="C243" s="7" t="inlineStr">
        <is>
          <t>RTC+B: Keys for BESS Success in ERCOT</t>
        </is>
      </c>
      <c r="D243" s="7" t="inlineStr">
        <is>
          <t>https://www.ascendanalytics.com/blog/energy-bid-optimization-strategies-rtc-plus-b-ercot</t>
        </is>
      </c>
      <c r="E243" s="7" t="inlineStr">
        <is>
          <t>2026-09-28</t>
        </is>
      </c>
      <c r="F243" s="7" t="inlineStr">
        <is>
          <t>November 25, 2025</t>
        </is>
      </c>
      <c r="G243" s="7" t="inlineStr">
        <is>
          <t>searched, not cited in a cell</t>
        </is>
      </c>
    </row>
    <row r="244">
      <c r="B244" s="6" t="inlineStr">
        <is>
          <t>S239</t>
        </is>
      </c>
      <c r="C244" s="6" t="inlineStr">
        <is>
          <t>Texas’ energy market redesign could leave battery developers in limbo</t>
        </is>
      </c>
      <c r="D244" s="6" t="inlineStr">
        <is>
          <t>https://www.canarymedia.com/articles/batteries/texas-energy-market-redesign-battery-developers</t>
        </is>
      </c>
      <c r="E244" s="6" t="inlineStr">
        <is>
          <t>2026-09-28</t>
        </is>
      </c>
      <c r="F244" s="6" t="inlineStr">
        <is>
          <t>December 16, 2025</t>
        </is>
      </c>
      <c r="G244" s="6" t="inlineStr">
        <is>
          <t>searched, not cited in a cell</t>
        </is>
      </c>
    </row>
    <row r="245">
      <c r="B245" s="7" t="inlineStr">
        <is>
          <t>S240</t>
        </is>
      </c>
      <c r="C245" s="7" t="inlineStr">
        <is>
          <t>ERCOT Goes Live with Real-Time Co-optimization Plus Batteries (RTC+B)</t>
        </is>
      </c>
      <c r="D245" s="7" t="inlineStr">
        <is>
          <t>https://www.ercot.com/news/release/12052025-ercot-goes-live</t>
        </is>
      </c>
      <c r="E245" s="7" t="inlineStr">
        <is>
          <t>2026-09-28</t>
        </is>
      </c>
      <c r="F245" s="7" t="inlineStr"/>
      <c r="G245" s="7" t="inlineStr">
        <is>
          <t>'Risks'!B22</t>
        </is>
      </c>
    </row>
    <row r="246">
      <c r="B246" s="6" t="inlineStr">
        <is>
          <t>S241</t>
        </is>
      </c>
      <c r="C246" s="6" t="inlineStr">
        <is>
          <t>ERCOT Battery Storage Economics Shift to System-Driven Valuation in 2026 - News and Statistics - IndexBox</t>
        </is>
      </c>
      <c r="D246" s="6" t="inlineStr">
        <is>
          <t>https://www.indexbox.io/blog/ercot-market-shift-alters-battery-storage-economics-with-real-time-co-optimization/</t>
        </is>
      </c>
      <c r="E246" s="6" t="inlineStr">
        <is>
          <t>2026-09-28</t>
        </is>
      </c>
      <c r="F246" s="6" t="inlineStr">
        <is>
          <t>March 25, 2026</t>
        </is>
      </c>
      <c r="G246" s="6" t="inlineStr">
        <is>
          <t>searched, not cited in a cell</t>
        </is>
      </c>
    </row>
    <row r="247">
      <c r="B247" s="7" t="inlineStr">
        <is>
          <t>S242</t>
        </is>
      </c>
      <c r="C247" s="7" t="inlineStr">
        <is>
          <t>Fluence goes ‘digital’ with deal to optimise and bid 182.5MW battery system into CAISO markets - Energy-Storage.News</t>
        </is>
      </c>
      <c r="D247" s="7" t="inlineStr">
        <is>
          <t>https://energy-storage.news/news/fluence-goes-digital-with-deal-to-optimise-and-bid-182.5mw-battery-system-i</t>
        </is>
      </c>
      <c r="E247" s="7" t="inlineStr">
        <is>
          <t>2026-09-28</t>
        </is>
      </c>
      <c r="F247" s="7" t="inlineStr">
        <is>
          <t>May 31, 2023</t>
        </is>
      </c>
      <c r="G247" s="7" t="inlineStr">
        <is>
          <t>searched, not cited in a cell</t>
        </is>
      </c>
    </row>
    <row r="248">
      <c r="B248" s="6" t="inlineStr">
        <is>
          <t>S243</t>
        </is>
      </c>
      <c r="C248" s="6" t="inlineStr">
        <is>
          <t>Fluence eyes emerging market for battery projects under 50 MW</t>
        </is>
      </c>
      <c r="D248" s="6" t="inlineStr">
        <is>
          <t>https://solarbuildermag.com/energy-storage/bidding-wars-fluence-explains-emerging-opportunity-for-under-50-mw-asset-class/</t>
        </is>
      </c>
      <c r="E248" s="6" t="inlineStr">
        <is>
          <t>2026-09-28</t>
        </is>
      </c>
      <c r="F248" s="6" t="inlineStr">
        <is>
          <t>May 19, 2025</t>
        </is>
      </c>
      <c r="G248" s="6" t="inlineStr">
        <is>
          <t>searched, not cited in a cell</t>
        </is>
      </c>
    </row>
    <row r="249">
      <c r="B249" s="7" t="inlineStr">
        <is>
          <t>S244</t>
        </is>
      </c>
      <c r="C249" s="7" t="inlineStr">
        <is>
          <t>Fluence Energy, Inc. - Form 10-K - FY2022</t>
        </is>
      </c>
      <c r="D249" s="7" t="inlineStr">
        <is>
          <t>https://www.sec.gov/Archives/edgar/data/1868941/000186894122000120/flnc-20220930.htm</t>
        </is>
      </c>
      <c r="E249" s="7" t="inlineStr">
        <is>
          <t>2026-09-28</t>
        </is>
      </c>
      <c r="F249" s="7" t="inlineStr"/>
      <c r="G249" s="7" t="inlineStr">
        <is>
          <t>searched, not cited in a cell</t>
        </is>
      </c>
    </row>
    <row r="250">
      <c r="B250" s="6" t="inlineStr">
        <is>
          <t>S245</t>
        </is>
      </c>
      <c r="C250" s="6" t="inlineStr">
        <is>
          <t>‘Software is key to decarbonisation’: Fluence’s digital strategies pay off in Australia - Energy-Storage.News</t>
        </is>
      </c>
      <c r="D250" s="6" t="inlineStr">
        <is>
          <t>https://www.energy-storage.news/software-is-key-to-decarbonisation-fluences-digital-strategies-pay-off-in-australia/</t>
        </is>
      </c>
      <c r="E250" s="6" t="inlineStr">
        <is>
          <t>2026-09-28</t>
        </is>
      </c>
      <c r="F250" s="6" t="inlineStr">
        <is>
          <t>May 31, 2023</t>
        </is>
      </c>
      <c r="G250" s="6" t="inlineStr">
        <is>
          <t>searched, not cited in a cell</t>
        </is>
      </c>
    </row>
    <row r="251">
      <c r="B251" s="7" t="inlineStr">
        <is>
          <t>S246</t>
        </is>
      </c>
      <c r="C251" s="7" t="inlineStr">
        <is>
          <t>Fluence Energy, Inc. - Form ARS - FY2023</t>
        </is>
      </c>
      <c r="D251" s="7" t="inlineStr">
        <is>
          <t>https://www.sec.gov/Archives/edgar/data/1868941/000110465924007309/tm243461d1_ars.pdf</t>
        </is>
      </c>
      <c r="E251" s="7" t="inlineStr">
        <is>
          <t>2026-09-28</t>
        </is>
      </c>
      <c r="F251" s="7" t="inlineStr"/>
      <c r="G251" s="7" t="inlineStr">
        <is>
          <t>searched, not cited in a cell</t>
        </is>
      </c>
    </row>
    <row r="252">
      <c r="B252" s="6" t="inlineStr">
        <is>
          <t>S247</t>
        </is>
      </c>
      <c r="C252" s="6" t="inlineStr">
        <is>
          <t>World's largest energy storage system from Tesla and PG&amp;E to use Fluence AI to optimize bidding and battery health - Energy Transition Now</t>
        </is>
      </c>
      <c r="D252" s="6" t="inlineStr">
        <is>
          <t>https://energytransitionnow.com/fluence-ai-to-optimize-bidding-and-battery-health/</t>
        </is>
      </c>
      <c r="E252" s="6" t="inlineStr">
        <is>
          <t>2026-09-28</t>
        </is>
      </c>
      <c r="F252" s="6" t="inlineStr">
        <is>
          <t>February 19, 2021</t>
        </is>
      </c>
      <c r="G252" s="6" t="inlineStr">
        <is>
          <t>searched, not cited in a cell</t>
        </is>
      </c>
    </row>
    <row r="253">
      <c r="B253" s="7" t="inlineStr">
        <is>
          <t>S248</t>
        </is>
      </c>
      <c r="C253" s="7" t="inlineStr">
        <is>
          <t>Tesla Energy Software | Tesla Support</t>
        </is>
      </c>
      <c r="D253" s="7" t="inlineStr">
        <is>
          <t>https://www.tesla.com/support/energy/tesla-software</t>
        </is>
      </c>
      <c r="E253" s="7" t="inlineStr">
        <is>
          <t>2026-09-28</t>
        </is>
      </c>
      <c r="F253" s="7" t="inlineStr"/>
      <c r="G253" s="7" t="inlineStr">
        <is>
          <t>searched, not cited in a cell</t>
        </is>
      </c>
    </row>
    <row r="254">
      <c r="B254" s="6" t="inlineStr">
        <is>
          <t>E1</t>
        </is>
      </c>
      <c r="C254" s="6" t="inlineStr">
        <is>
          <t>ERW list_tables</t>
        </is>
      </c>
      <c r="D254" s="6" t="inlineStr">
        <is>
          <t>https://github.com/SamuelEnrique/erw (list_tables)</t>
        </is>
      </c>
      <c r="E254" s="6" t="inlineStr">
        <is>
          <t>2026-09-28</t>
        </is>
      </c>
      <c r="F254" s="6" t="inlineStr"/>
      <c r="G254" s="6" t="inlineStr">
        <is>
          <t>'Scope'!B10:C10; 'Scope'!B16</t>
        </is>
      </c>
    </row>
    <row r="255">
      <c r="B255" s="7" t="inlineStr">
        <is>
          <t>E2</t>
        </is>
      </c>
      <c r="C255" s="7" t="inlineStr">
        <is>
          <t>ERW list_tables</t>
        </is>
      </c>
      <c r="D255" s="7" t="inlineStr">
        <is>
          <t>https://github.com/SamuelEnrique/erw (list_tables)</t>
        </is>
      </c>
      <c r="E255" s="7" t="inlineStr">
        <is>
          <t>2026-09-28</t>
        </is>
      </c>
      <c r="F255" s="7" t="inlineStr"/>
      <c r="G255" s="7" t="inlineStr">
        <is>
          <t>queried, not cited in a cell</t>
        </is>
      </c>
    </row>
    <row r="256">
      <c r="B256" s="6" t="inlineStr">
        <is>
          <t>E3</t>
        </is>
      </c>
      <c r="C256" s="6" t="inlineStr">
        <is>
          <t>ERW list_tables</t>
        </is>
      </c>
      <c r="D256" s="6" t="inlineStr">
        <is>
          <t>https://github.com/SamuelEnrique/erw (list_tables)</t>
        </is>
      </c>
      <c r="E256" s="6" t="inlineStr">
        <is>
          <t>2026-09-28</t>
        </is>
      </c>
      <c r="F256" s="6" t="inlineStr"/>
      <c r="G256" s="6" t="inlineStr">
        <is>
          <t>queried, not cited in a cell</t>
        </is>
      </c>
    </row>
    <row r="257">
      <c r="B257" s="7" t="inlineStr">
        <is>
          <t>E4</t>
        </is>
      </c>
      <c r="C257" s="7" t="inlineStr">
        <is>
          <t>ERW list_tables</t>
        </is>
      </c>
      <c r="D257" s="7" t="inlineStr">
        <is>
          <t>https://github.com/SamuelEnrique/erw (list_tables)</t>
        </is>
      </c>
      <c r="E257" s="7" t="inlineStr">
        <is>
          <t>2026-09-28</t>
        </is>
      </c>
      <c r="F257" s="7" t="inlineStr"/>
      <c r="G257" s="7" t="inlineStr">
        <is>
          <t>'Scope'!B10:C10; 'Scope'!B16</t>
        </is>
      </c>
    </row>
    <row r="258">
      <c r="B258" s="6" t="inlineStr">
        <is>
          <t>E5</t>
        </is>
      </c>
      <c r="C258" s="6" t="inlineStr">
        <is>
          <t>ERW list_tables</t>
        </is>
      </c>
      <c r="D258" s="6" t="inlineStr">
        <is>
          <t>https://github.com/SamuelEnrique/erw (list_tables)</t>
        </is>
      </c>
      <c r="E258" s="6" t="inlineStr">
        <is>
          <t>2026-09-28</t>
        </is>
      </c>
      <c r="F258" s="6" t="inlineStr"/>
      <c r="G258" s="6" t="inlineStr">
        <is>
          <t>queried, not cited in a cell</t>
        </is>
      </c>
    </row>
    <row r="259">
      <c r="B259" s="7" t="inlineStr">
        <is>
          <t>E6</t>
        </is>
      </c>
      <c r="C259" s="7" t="inlineStr">
        <is>
          <t>ERW describe_table eia860m_operating_generators</t>
        </is>
      </c>
      <c r="D259" s="7" t="inlineStr">
        <is>
          <t>https://github.com/SamuelEnrique/erw (eia860m_operating_generators)</t>
        </is>
      </c>
      <c r="E259" s="7" t="inlineStr">
        <is>
          <t>2026-09-28</t>
        </is>
      </c>
      <c r="F259" s="7" t="inlineStr"/>
      <c r="G259" s="7" t="inlineStr">
        <is>
          <t>queried, not cited in a cell</t>
        </is>
      </c>
    </row>
    <row r="260">
      <c r="B260" s="6" t="inlineStr">
        <is>
          <t>E7</t>
        </is>
      </c>
      <c r="C260" s="6" t="inlineStr">
        <is>
          <t>ERW describe_table energy_companies</t>
        </is>
      </c>
      <c r="D260" s="6" t="inlineStr">
        <is>
          <t>https://github.com/SamuelEnrique/erw (energy_companies)</t>
        </is>
      </c>
      <c r="E260" s="6" t="inlineStr">
        <is>
          <t>2026-09-28</t>
        </is>
      </c>
      <c r="F260" s="6" t="inlineStr"/>
      <c r="G260" s="6" t="inlineStr">
        <is>
          <t>queried, not cited in a cell</t>
        </is>
      </c>
    </row>
    <row r="261">
      <c r="B261" s="7" t="inlineStr">
        <is>
          <t>E8</t>
        </is>
      </c>
      <c r="C261" s="7" t="inlineStr">
        <is>
          <t>ERW describe_table energy_deals</t>
        </is>
      </c>
      <c r="D261" s="7" t="inlineStr">
        <is>
          <t>https://github.com/SamuelEnrique/erw (energy_deals)</t>
        </is>
      </c>
      <c r="E261" s="7" t="inlineStr">
        <is>
          <t>2026-09-28</t>
        </is>
      </c>
      <c r="F261" s="7" t="inlineStr"/>
      <c r="G261" s="7" t="inlineStr">
        <is>
          <t>queried, not cited in a cell</t>
        </is>
      </c>
    </row>
    <row r="262">
      <c r="B262" s="6" t="inlineStr">
        <is>
          <t>E9</t>
        </is>
      </c>
      <c r="C262" s="6" t="inlineStr">
        <is>
          <t>ERW describe_table caiso_battery_storage</t>
        </is>
      </c>
      <c r="D262" s="6" t="inlineStr">
        <is>
          <t>https://github.com/SamuelEnrique/erw (caiso_battery_storage)</t>
        </is>
      </c>
      <c r="E262" s="6" t="inlineStr">
        <is>
          <t>2026-09-28</t>
        </is>
      </c>
      <c r="F262" s="6" t="inlineStr"/>
      <c r="G262" s="6" t="inlineStr">
        <is>
          <t>queried, not cited in a cell</t>
        </is>
      </c>
    </row>
    <row r="263">
      <c r="B263" s="7" t="inlineStr">
        <is>
          <t>E10</t>
        </is>
      </c>
      <c r="C263" s="7" t="inlineStr">
        <is>
          <t>ERW query energy_companies</t>
        </is>
      </c>
      <c r="D263" s="7" t="inlineStr">
        <is>
          <t>https://github.com/SamuelEnrique/erw (energy_companies)</t>
        </is>
      </c>
      <c r="E263" s="7" t="inlineStr">
        <is>
          <t>2026-09-28</t>
        </is>
      </c>
      <c r="F263" s="7" t="inlineStr"/>
      <c r="G263" s="7" t="inlineStr">
        <is>
          <t>'Scope'!B6</t>
        </is>
      </c>
    </row>
    <row r="264">
      <c r="B264" s="6" t="inlineStr">
        <is>
          <t>E11</t>
        </is>
      </c>
      <c r="C264" s="6" t="inlineStr">
        <is>
          <t>ERW query eia860m_operating_generators</t>
        </is>
      </c>
      <c r="D264" s="6" t="inlineStr">
        <is>
          <t>https://github.com/SamuelEnrique/erw (eia860m_operating_generators)</t>
        </is>
      </c>
      <c r="E264" s="6" t="inlineStr">
        <is>
          <t>2026-09-28</t>
        </is>
      </c>
      <c r="F264" s="6" t="inlineStr"/>
      <c r="G264" s="6" t="inlineStr">
        <is>
          <t>'Scope'!B11:C11; 'Scope'!B16; 'Trends'!B146:C146; 'Trends'!B147:C147; 'Trends'!B148:C148; 'Trends'!B149:C149; 'Trends'!B150:C150; 'Trends'!B151:C151; 'Trends'!B152:C152; 'Trends'!B153:C153; 'Trends'!B154</t>
        </is>
      </c>
    </row>
    <row r="265">
      <c r="B265" s="7" t="inlineStr">
        <is>
          <t>E12</t>
        </is>
      </c>
      <c r="C265" s="7" t="inlineStr">
        <is>
          <t>ERW query eia860m_operating_generators</t>
        </is>
      </c>
      <c r="D265" s="7" t="inlineStr">
        <is>
          <t>https://github.com/SamuelEnrique/erw (eia860m_operating_generators)</t>
        </is>
      </c>
      <c r="E265" s="7" t="inlineStr">
        <is>
          <t>2026-09-28</t>
        </is>
      </c>
      <c r="F265" s="7" t="inlineStr"/>
      <c r="G265" s="7" t="inlineStr">
        <is>
          <t>'Fundamentals'!B8:F8; 'Fundamentals'!B9:F9; 'Fundamentals'!B10:F10; 'Fundamentals'!B17; 'Trends'!B7:C7; 'Trends'!B8:C8; 'Trends'!B9:C9; 'Trends'!B10:C10; 'Trends'!B11:C11; 'Trends'!B12:C12; 'Trends'!B28</t>
        </is>
      </c>
    </row>
    <row r="266">
      <c r="B266" s="6" t="inlineStr">
        <is>
          <t>E13</t>
        </is>
      </c>
      <c r="C266" s="6" t="inlineStr">
        <is>
          <t>ERW describe_table eia860m_planned_generators</t>
        </is>
      </c>
      <c r="D266" s="6" t="inlineStr">
        <is>
          <t>https://github.com/SamuelEnrique/erw (eia860m_planned_generators)</t>
        </is>
      </c>
      <c r="E266" s="6" t="inlineStr">
        <is>
          <t>2026-09-28</t>
        </is>
      </c>
      <c r="F266" s="6" t="inlineStr"/>
      <c r="G266" s="6" t="inlineStr">
        <is>
          <t>queried, not cited in a cell</t>
        </is>
      </c>
    </row>
    <row r="267">
      <c r="B267" s="7" t="inlineStr">
        <is>
          <t>E14</t>
        </is>
      </c>
      <c r="C267" s="7" t="inlineStr">
        <is>
          <t>ERW query eia860m_operating_generators</t>
        </is>
      </c>
      <c r="D267" s="7" t="inlineStr">
        <is>
          <t>https://github.com/SamuelEnrique/erw (eia860m_operating_generators)</t>
        </is>
      </c>
      <c r="E267" s="7" t="inlineStr">
        <is>
          <t>2026-09-28</t>
        </is>
      </c>
      <c r="F267" s="7" t="inlineStr"/>
      <c r="G267" s="7" t="inlineStr">
        <is>
          <t>'Scope'!B11:C11; 'Scope'!B16; 'Fundamentals'!B7:F7; 'Fundamentals'!B17; 'Trends'!B146:C146; 'Trends'!B147:C147; 'Trends'!B148:C148; 'Trends'!B149:C149; 'Trends'!B150:C150; 'Trends'!B151:C151; 'Trends'!B152:C152; 'Trends'!B153:C153; 'Trends'!B154</t>
        </is>
      </c>
    </row>
    <row r="268">
      <c r="B268" s="6" t="inlineStr">
        <is>
          <t>E15</t>
        </is>
      </c>
      <c r="C268" s="6" t="inlineStr">
        <is>
          <t>ERW query eia860m_planned_generators</t>
        </is>
      </c>
      <c r="D268" s="6" t="inlineStr">
        <is>
          <t>https://github.com/SamuelEnrique/erw (eia860m_planned_generators)</t>
        </is>
      </c>
      <c r="E268" s="6" t="inlineStr">
        <is>
          <t>2026-09-28</t>
        </is>
      </c>
      <c r="F268" s="6" t="inlineStr"/>
      <c r="G268" s="6" t="inlineStr">
        <is>
          <t>'Scope'!B11:C11; 'Scope'!B16; 'Fundamentals'!B11:F11; 'Fundamentals'!B17; 'Trends'!B134:C134; 'Trends'!B135:C135; 'Trends'!B136:C136; 'Trends'!B137:C137; 'Trends'!B138:C138; 'Trends'!B139:C139; 'Trends'!B140:C140; 'Trends'!B141</t>
        </is>
      </c>
    </row>
    <row r="269">
      <c r="B269" s="7" t="inlineStr">
        <is>
          <t>E16</t>
        </is>
      </c>
      <c r="C269" s="7" t="inlineStr">
        <is>
          <t>ERW query eia860m_planned_generators</t>
        </is>
      </c>
      <c r="D269" s="7" t="inlineStr">
        <is>
          <t>https://github.com/SamuelEnrique/erw (eia860m_planned_generators)</t>
        </is>
      </c>
      <c r="E269" s="7" t="inlineStr">
        <is>
          <t>2026-09-28</t>
        </is>
      </c>
      <c r="F269" s="7" t="inlineStr"/>
      <c r="G269" s="7" t="inlineStr">
        <is>
          <t>'Trends'!B134:C134; 'Trends'!B135:C135; 'Trends'!B136:C136; 'Trends'!B137:C137; 'Trends'!B138:C138; 'Trends'!B139:C139; 'Trends'!B140:C140; 'Trends'!B141</t>
        </is>
      </c>
    </row>
    <row r="270">
      <c r="B270" s="6" t="inlineStr">
        <is>
          <t>E17</t>
        </is>
      </c>
      <c r="C270" s="6" t="inlineStr">
        <is>
          <t>ERW describe_table ercot_interconnection_queue</t>
        </is>
      </c>
      <c r="D270" s="6" t="inlineStr">
        <is>
          <t>https://github.com/SamuelEnrique/erw (ercot_interconnection_queue)</t>
        </is>
      </c>
      <c r="E270" s="6" t="inlineStr">
        <is>
          <t>2026-09-28</t>
        </is>
      </c>
      <c r="F270" s="6" t="inlineStr"/>
      <c r="G270" s="6" t="inlineStr">
        <is>
          <t>queried, not cited in a cell</t>
        </is>
      </c>
    </row>
    <row r="271">
      <c r="B271" s="7" t="inlineStr">
        <is>
          <t>E18</t>
        </is>
      </c>
      <c r="C271" s="7" t="inlineStr">
        <is>
          <t>ERW describe_table ercot_peak_premium_annual</t>
        </is>
      </c>
      <c r="D271" s="7" t="inlineStr">
        <is>
          <t>https://github.com/SamuelEnrique/erw (ercot_peak_premium_annual)</t>
        </is>
      </c>
      <c r="E271" s="7" t="inlineStr">
        <is>
          <t>2026-09-28</t>
        </is>
      </c>
      <c r="F271" s="7" t="inlineStr"/>
      <c r="G271" s="7" t="inlineStr">
        <is>
          <t>queried, not cited in a cell</t>
        </is>
      </c>
    </row>
    <row r="272">
      <c r="B272" s="6" t="inlineStr">
        <is>
          <t>E19</t>
        </is>
      </c>
      <c r="C272" s="6" t="inlineStr">
        <is>
          <t>ERW query ercot_peak_premium_annual</t>
        </is>
      </c>
      <c r="D272" s="6" t="inlineStr">
        <is>
          <t>https://github.com/SamuelEnrique/erw (ercot_peak_premium_annual)</t>
        </is>
      </c>
      <c r="E272" s="6" t="inlineStr">
        <is>
          <t>2026-09-28</t>
        </is>
      </c>
      <c r="F272" s="6" t="inlineStr"/>
      <c r="G272" s="6" t="inlineStr">
        <is>
          <t>'Fundamentals'!B13:F13; 'Fundamentals'!B14:F14; 'Fundamentals'!B17; 'Trends'!B33:C33; 'Trends'!B34:C34; 'Trends'!B35:C35; 'Trends'!B36:C36; 'Trends'!B37:C37; 'Trends'!B38:C38; 'Trends'!B79</t>
        </is>
      </c>
    </row>
    <row r="273">
      <c r="B273" s="7" t="inlineStr">
        <is>
          <t>E20</t>
        </is>
      </c>
      <c r="C273" s="7" t="inlineStr">
        <is>
          <t>ERW query ercot_peak_premium_annual</t>
        </is>
      </c>
      <c r="D273" s="7" t="inlineStr">
        <is>
          <t>https://github.com/SamuelEnrique/erw (ercot_peak_premium_annual)</t>
        </is>
      </c>
      <c r="E273" s="7" t="inlineStr">
        <is>
          <t>2026-09-28</t>
        </is>
      </c>
      <c r="F273" s="7" t="inlineStr"/>
      <c r="G273" s="7" t="inlineStr">
        <is>
          <t>queried, not cited in a cell</t>
        </is>
      </c>
    </row>
    <row r="274">
      <c r="B274" s="6" t="inlineStr">
        <is>
          <t>E21</t>
        </is>
      </c>
      <c r="C274" s="6" t="inlineStr">
        <is>
          <t>ERW query ercot_interconnection_queue</t>
        </is>
      </c>
      <c r="D274" s="6" t="inlineStr">
        <is>
          <t>https://github.com/SamuelEnrique/erw (ercot_interconnection_queue)</t>
        </is>
      </c>
      <c r="E274" s="6" t="inlineStr">
        <is>
          <t>2026-09-28</t>
        </is>
      </c>
      <c r="F274" s="6" t="inlineStr"/>
      <c r="G274" s="6" t="inlineStr">
        <is>
          <t>'Scope'!B11:C11; 'Scope'!B16; 'Fundamentals'!B12:F12; 'Fundamentals'!B17; 'Trends'!B134:C134; 'Trends'!B135:C135; 'Trends'!B136:C136; 'Trends'!B137:C137; 'Trends'!B138:C138; 'Trends'!B139:C139; 'Trends'!B140:C140; 'Trends'!B141</t>
        </is>
      </c>
    </row>
    <row r="275">
      <c r="B275" s="7" t="inlineStr">
        <is>
          <t>E22</t>
        </is>
      </c>
      <c r="C275" s="7" t="inlineStr">
        <is>
          <t>ERW describe_table caiso_interconnection_queue</t>
        </is>
      </c>
      <c r="D275" s="7" t="inlineStr">
        <is>
          <t>https://github.com/SamuelEnrique/erw (caiso_interconnection_queue)</t>
        </is>
      </c>
      <c r="E275" s="7" t="inlineStr">
        <is>
          <t>2026-09-28</t>
        </is>
      </c>
      <c r="F275" s="7" t="inlineStr"/>
      <c r="G275" s="7" t="inlineStr">
        <is>
          <t>queried, not cited in a cell</t>
        </is>
      </c>
    </row>
    <row r="276">
      <c r="B276" s="6" t="inlineStr">
        <is>
          <t>E23</t>
        </is>
      </c>
      <c r="C276" s="6" t="inlineStr">
        <is>
          <t>ERW query caiso_battery_storage</t>
        </is>
      </c>
      <c r="D276" s="6" t="inlineStr">
        <is>
          <t>https://github.com/SamuelEnrique/erw (caiso_battery_storage)</t>
        </is>
      </c>
      <c r="E276" s="6" t="inlineStr">
        <is>
          <t>2026-09-28</t>
        </is>
      </c>
      <c r="F276" s="6" t="inlineStr"/>
      <c r="G276" s="6" t="inlineStr">
        <is>
          <t>queried, not cited in a cell</t>
        </is>
      </c>
    </row>
    <row r="277">
      <c r="B277" s="7" t="inlineStr">
        <is>
          <t>E24</t>
        </is>
      </c>
      <c r="C277" s="7" t="inlineStr">
        <is>
          <t>ERW query energy_deals</t>
        </is>
      </c>
      <c r="D277" s="7" t="inlineStr">
        <is>
          <t>https://github.com/SamuelEnrique/erw (energy_deals)</t>
        </is>
      </c>
      <c r="E277" s="7" t="inlineStr">
        <is>
          <t>2026-09-28</t>
        </is>
      </c>
      <c r="F277" s="7" t="inlineStr"/>
      <c r="G277" s="7" t="inlineStr">
        <is>
          <t>queried, not cited in a cell</t>
        </is>
      </c>
    </row>
    <row r="278">
      <c r="B278" s="6" t="inlineStr">
        <is>
          <t>E25</t>
        </is>
      </c>
      <c r="C278" s="6" t="inlineStr">
        <is>
          <t>ERW describe_table policy_actions</t>
        </is>
      </c>
      <c r="D278" s="6" t="inlineStr">
        <is>
          <t>https://github.com/SamuelEnrique/erw (policy_actions)</t>
        </is>
      </c>
      <c r="E278" s="6" t="inlineStr">
        <is>
          <t>2026-09-28</t>
        </is>
      </c>
      <c r="F278" s="6" t="inlineStr"/>
      <c r="G278" s="6" t="inlineStr">
        <is>
          <t>queried, not cited in a cell</t>
        </is>
      </c>
    </row>
    <row r="279">
      <c r="B279" s="7" t="inlineStr">
        <is>
          <t>E26</t>
        </is>
      </c>
      <c r="C279" s="7" t="inlineStr">
        <is>
          <t>ERW query caiso_curtailment_daily</t>
        </is>
      </c>
      <c r="D279" s="7" t="inlineStr">
        <is>
          <t>https://github.com/SamuelEnrique/erw (caiso_curtailment_daily)</t>
        </is>
      </c>
      <c r="E279" s="7" t="inlineStr">
        <is>
          <t>2026-09-28</t>
        </is>
      </c>
      <c r="F279" s="7" t="inlineStr"/>
      <c r="G279" s="7" t="inlineStr">
        <is>
          <t>queried, not cited in a cell</t>
        </is>
      </c>
    </row>
    <row r="280">
      <c r="B280" s="6" t="inlineStr">
        <is>
          <t>E27</t>
        </is>
      </c>
      <c r="C280" s="6" t="inlineStr">
        <is>
          <t>ERW query caiso_curtailment_daily</t>
        </is>
      </c>
      <c r="D280" s="6" t="inlineStr">
        <is>
          <t>https://github.com/SamuelEnrique/erw (caiso_curtailment_daily)</t>
        </is>
      </c>
      <c r="E280" s="6" t="inlineStr">
        <is>
          <t>2026-09-28</t>
        </is>
      </c>
      <c r="F280" s="6" t="inlineStr"/>
      <c r="G280" s="6" t="inlineStr">
        <is>
          <t>'Trends'!B84:C84; 'Trends'!B85:C85; 'Trends'!B86:C86; 'Trends'!B87:C87; 'Trends'!B88:C88; 'Trends'!B129</t>
        </is>
      </c>
    </row>
    <row r="281">
      <c r="B281" s="7" t="inlineStr">
        <is>
          <t>E28</t>
        </is>
      </c>
      <c r="C281" s="7" t="inlineStr">
        <is>
          <t>ERW query policy_actions</t>
        </is>
      </c>
      <c r="D281" s="7" t="inlineStr">
        <is>
          <t>https://github.com/SamuelEnrique/erw (policy_actions)</t>
        </is>
      </c>
      <c r="E281" s="7" t="inlineStr">
        <is>
          <t>2026-09-28</t>
        </is>
      </c>
      <c r="F281" s="7" t="inlineStr"/>
      <c r="G281" s="7" t="inlineStr">
        <is>
          <t>queried, not cited in a cell</t>
        </is>
      </c>
    </row>
    <row r="282">
      <c r="B282" s="6" t="inlineStr">
        <is>
          <t>E29</t>
        </is>
      </c>
      <c r="C282" s="6" t="inlineStr">
        <is>
          <t>ERW query caiso_battery_storage</t>
        </is>
      </c>
      <c r="D282" s="6" t="inlineStr">
        <is>
          <t>https://github.com/SamuelEnrique/erw (caiso_battery_storage)</t>
        </is>
      </c>
      <c r="E282" s="6" t="inlineStr">
        <is>
          <t>2026-09-28</t>
        </is>
      </c>
      <c r="F282" s="6" t="inlineStr"/>
      <c r="G282" s="6" t="inlineStr">
        <is>
          <t>'Trends'!B84:C84; 'Trends'!B85:C85; 'Trends'!B86:C86; 'Trends'!B87:C87; 'Trends'!B88:C88; 'Trends'!B129</t>
        </is>
      </c>
    </row>
    <row r="283">
      <c r="B283" s="7" t="inlineStr">
        <is>
          <t>E30</t>
        </is>
      </c>
      <c r="C283" s="7" t="inlineStr">
        <is>
          <t>ERW list_tables</t>
        </is>
      </c>
      <c r="D283" s="7" t="inlineStr">
        <is>
          <t>https://github.com/SamuelEnrique/erw (list_tables)</t>
        </is>
      </c>
      <c r="E283" s="7" t="inlineStr">
        <is>
          <t>2026-09-28</t>
        </is>
      </c>
      <c r="F283" s="7" t="inlineStr"/>
      <c r="G283" s="7" t="inlineStr">
        <is>
          <t>queried, not cited in a cell</t>
        </is>
      </c>
    </row>
    <row r="284">
      <c r="B284" s="6" t="inlineStr">
        <is>
          <t>E31</t>
        </is>
      </c>
      <c r="C284" s="6" t="inlineStr">
        <is>
          <t>ERW list_tables</t>
        </is>
      </c>
      <c r="D284" s="6" t="inlineStr">
        <is>
          <t>https://github.com/SamuelEnrique/erw (list_tables)</t>
        </is>
      </c>
      <c r="E284" s="6" t="inlineStr">
        <is>
          <t>2026-09-28</t>
        </is>
      </c>
      <c r="F284" s="6" t="inlineStr"/>
      <c r="G284" s="6" t="inlineStr">
        <is>
          <t>queried, not cited in a cell</t>
        </is>
      </c>
    </row>
    <row r="285">
      <c r="B285" s="7" t="inlineStr">
        <is>
          <t>E32</t>
        </is>
      </c>
      <c r="C285" s="7" t="inlineStr">
        <is>
          <t>ERW describe_table energy_deals</t>
        </is>
      </c>
      <c r="D285" s="7" t="inlineStr">
        <is>
          <t>https://github.com/SamuelEnrique/erw (energy_deals)</t>
        </is>
      </c>
      <c r="E285" s="7" t="inlineStr">
        <is>
          <t>2026-09-28</t>
        </is>
      </c>
      <c r="F285" s="7" t="inlineStr"/>
      <c r="G285" s="7" t="inlineStr">
        <is>
          <t>'Risks'!B42</t>
        </is>
      </c>
    </row>
    <row r="286">
      <c r="B286" s="6" t="inlineStr">
        <is>
          <t>E33</t>
        </is>
      </c>
      <c r="C286" s="6" t="inlineStr">
        <is>
          <t>ERW describe_table energy_companies</t>
        </is>
      </c>
      <c r="D286" s="6" t="inlineStr">
        <is>
          <t>https://github.com/SamuelEnrique/erw (energy_companies)</t>
        </is>
      </c>
      <c r="E286" s="6" t="inlineStr">
        <is>
          <t>2026-09-28</t>
        </is>
      </c>
      <c r="F286" s="6" t="inlineStr"/>
      <c r="G286" s="6" t="inlineStr">
        <is>
          <t>'Scope'!B12:C12; 'Scope'!B13:C13; 'Scope'!B16</t>
        </is>
      </c>
    </row>
    <row r="287">
      <c r="B287" s="7" t="inlineStr">
        <is>
          <t>E34</t>
        </is>
      </c>
      <c r="C287" s="7" t="inlineStr">
        <is>
          <t>ERW query energy_companies</t>
        </is>
      </c>
      <c r="D287" s="7" t="inlineStr">
        <is>
          <t>https://github.com/SamuelEnrique/erw (energy_companies)</t>
        </is>
      </c>
      <c r="E287" s="7" t="inlineStr">
        <is>
          <t>2026-09-28</t>
        </is>
      </c>
      <c r="F287" s="7" t="inlineStr"/>
      <c r="G287" s="7" t="inlineStr">
        <is>
          <t>queried, not cited in a cell</t>
        </is>
      </c>
    </row>
    <row r="288">
      <c r="B288" s="6" t="inlineStr">
        <is>
          <t>E35</t>
        </is>
      </c>
      <c r="C288" s="6" t="inlineStr">
        <is>
          <t>ERW query energy_deals</t>
        </is>
      </c>
      <c r="D288" s="6" t="inlineStr">
        <is>
          <t>https://github.com/SamuelEnrique/erw (energy_deals)</t>
        </is>
      </c>
      <c r="E288" s="6" t="inlineStr">
        <is>
          <t>2026-09-28</t>
        </is>
      </c>
      <c r="F288" s="6" t="inlineStr"/>
      <c r="G288" s="6" t="inlineStr">
        <is>
          <t>queried, not cited in a cell</t>
        </is>
      </c>
    </row>
    <row r="289">
      <c r="B289" s="7" t="inlineStr">
        <is>
          <t>E36</t>
        </is>
      </c>
      <c r="C289" s="7" t="inlineStr">
        <is>
          <t>ERW query energy_companies</t>
        </is>
      </c>
      <c r="D289" s="7" t="inlineStr">
        <is>
          <t>https://github.com/SamuelEnrique/erw (energy_companies)</t>
        </is>
      </c>
      <c r="E289" s="7" t="inlineStr">
        <is>
          <t>2026-09-28</t>
        </is>
      </c>
      <c r="F289" s="7" t="inlineStr"/>
      <c r="G289" s="7" t="inlineStr">
        <is>
          <t>queried, not cited in a cell</t>
        </is>
      </c>
    </row>
    <row r="290">
      <c r="B290" s="6" t="inlineStr">
        <is>
          <t>E37</t>
        </is>
      </c>
      <c r="C290" s="6" t="inlineStr">
        <is>
          <t>ERW query energy_deals</t>
        </is>
      </c>
      <c r="D290" s="6" t="inlineStr">
        <is>
          <t>https://github.com/SamuelEnrique/erw (energy_deals)</t>
        </is>
      </c>
      <c r="E290" s="6" t="inlineStr">
        <is>
          <t>2026-09-28</t>
        </is>
      </c>
      <c r="F290" s="6" t="inlineStr"/>
      <c r="G290" s="6" t="inlineStr">
        <is>
          <t>queried, not cited in a cell</t>
        </is>
      </c>
    </row>
    <row r="291">
      <c r="B291" s="7" t="inlineStr">
        <is>
          <t>E38</t>
        </is>
      </c>
      <c r="C291" s="7" t="inlineStr">
        <is>
          <t>ERW query energy_deals</t>
        </is>
      </c>
      <c r="D291" s="7" t="inlineStr">
        <is>
          <t>https://github.com/SamuelEnrique/erw (energy_deals)</t>
        </is>
      </c>
      <c r="E291" s="7" t="inlineStr">
        <is>
          <t>2026-09-28</t>
        </is>
      </c>
      <c r="F291" s="7" t="inlineStr"/>
      <c r="G291" s="7" t="inlineStr">
        <is>
          <t>queried, not cited in a cell</t>
        </is>
      </c>
    </row>
    <row r="292">
      <c r="B292" s="6" t="inlineStr">
        <is>
          <t>E39</t>
        </is>
      </c>
      <c r="C292" s="6" t="inlineStr">
        <is>
          <t>ERW query energy_deals</t>
        </is>
      </c>
      <c r="D292" s="6" t="inlineStr">
        <is>
          <t>https://github.com/SamuelEnrique/erw (energy_deals)</t>
        </is>
      </c>
      <c r="E292" s="6" t="inlineStr">
        <is>
          <t>2026-09-28</t>
        </is>
      </c>
      <c r="F292" s="6" t="inlineStr"/>
      <c r="G292" s="6" t="inlineStr">
        <is>
          <t>'Risks'!B42</t>
        </is>
      </c>
    </row>
    <row r="293">
      <c r="B293" s="7" t="inlineStr">
        <is>
          <t>E40</t>
        </is>
      </c>
      <c r="C293" s="7" t="inlineStr">
        <is>
          <t>ERW query energy_deals</t>
        </is>
      </c>
      <c r="D293" s="7" t="inlineStr">
        <is>
          <t>https://github.com/SamuelEnrique/erw (energy_deals)</t>
        </is>
      </c>
      <c r="E293" s="7" t="inlineStr">
        <is>
          <t>2026-09-28</t>
        </is>
      </c>
      <c r="F293" s="7" t="inlineStr"/>
      <c r="G293" s="7" t="inlineStr">
        <is>
          <t>queried, not cited in a cell</t>
        </is>
      </c>
    </row>
    <row r="294">
      <c r="B294" s="6" t="inlineStr">
        <is>
          <t>E41</t>
        </is>
      </c>
      <c r="C294" s="6" t="inlineStr">
        <is>
          <t>ERW query energy_deals</t>
        </is>
      </c>
      <c r="D294" s="6" t="inlineStr">
        <is>
          <t>https://github.com/SamuelEnrique/erw (energy_deals)</t>
        </is>
      </c>
      <c r="E294" s="6" t="inlineStr">
        <is>
          <t>2026-09-28</t>
        </is>
      </c>
      <c r="F294" s="6" t="inlineStr"/>
      <c r="G294" s="6" t="inlineStr">
        <is>
          <t>queried, not cited in a cell</t>
        </is>
      </c>
    </row>
    <row r="295">
      <c r="B295" s="7" t="inlineStr">
        <is>
          <t>E42</t>
        </is>
      </c>
      <c r="C295" s="7" t="inlineStr">
        <is>
          <t>ERW query energy_companies</t>
        </is>
      </c>
      <c r="D295" s="7" t="inlineStr">
        <is>
          <t>https://github.com/SamuelEnrique/erw (energy_companies)</t>
        </is>
      </c>
      <c r="E295" s="7" t="inlineStr">
        <is>
          <t>2026-09-28</t>
        </is>
      </c>
      <c r="F295" s="7" t="inlineStr"/>
      <c r="G295" s="7" t="inlineStr">
        <is>
          <t>queried, not cited in a cell</t>
        </is>
      </c>
    </row>
    <row r="296">
      <c r="B296" s="6" t="inlineStr">
        <is>
          <t>E43</t>
        </is>
      </c>
      <c r="C296" s="6" t="inlineStr">
        <is>
          <t>ERW query energy_companies</t>
        </is>
      </c>
      <c r="D296" s="6" t="inlineStr">
        <is>
          <t>https://github.com/SamuelEnrique/erw (energy_companies)</t>
        </is>
      </c>
      <c r="E296" s="6" t="inlineStr">
        <is>
          <t>2026-09-28</t>
        </is>
      </c>
      <c r="F296" s="6" t="inlineStr"/>
      <c r="G296" s="6" t="inlineStr">
        <is>
          <t>'Landscape'!B10:J10; 'Landscape'!B13</t>
        </is>
      </c>
    </row>
    <row r="297">
      <c r="B297" s="7" t="inlineStr">
        <is>
          <t>E44</t>
        </is>
      </c>
      <c r="C297" s="7" t="inlineStr">
        <is>
          <t>ERW query energy_companies</t>
        </is>
      </c>
      <c r="D297" s="7" t="inlineStr">
        <is>
          <t>https://github.com/SamuelEnrique/erw (energy_companies)</t>
        </is>
      </c>
      <c r="E297" s="7" t="inlineStr">
        <is>
          <t>2026-09-28</t>
        </is>
      </c>
      <c r="F297" s="7" t="inlineStr"/>
      <c r="G297" s="7" t="inlineStr">
        <is>
          <t>'Landscape'!B8:J8; 'Landscape'!B13</t>
        </is>
      </c>
    </row>
    <row r="298">
      <c r="B298" s="6" t="inlineStr">
        <is>
          <t>E45</t>
        </is>
      </c>
      <c r="C298" s="6" t="inlineStr">
        <is>
          <t>ERW query energy_companies</t>
        </is>
      </c>
      <c r="D298" s="6" t="inlineStr">
        <is>
          <t>https://github.com/SamuelEnrique/erw (energy_companies)</t>
        </is>
      </c>
      <c r="E298" s="6" t="inlineStr">
        <is>
          <t>2026-09-28</t>
        </is>
      </c>
      <c r="F298" s="6" t="inlineStr"/>
      <c r="G298" s="6" t="inlineStr">
        <is>
          <t>'Landscape'!B9:J9; 'Landscape'!B13</t>
        </is>
      </c>
    </row>
    <row r="299">
      <c r="B299" s="7" t="inlineStr">
        <is>
          <t>E46</t>
        </is>
      </c>
      <c r="C299" s="7" t="inlineStr">
        <is>
          <t>ERW query energy_companies</t>
        </is>
      </c>
      <c r="D299" s="7" t="inlineStr">
        <is>
          <t>https://github.com/SamuelEnrique/erw (energy_companies)</t>
        </is>
      </c>
      <c r="E299" s="7" t="inlineStr">
        <is>
          <t>2026-09-28</t>
        </is>
      </c>
      <c r="F299" s="7" t="inlineStr"/>
      <c r="G299" s="7" t="inlineStr">
        <is>
          <t>'Landscape'!B7:J7; 'Landscape'!B13; 'Capital'!B7:H7; 'Capital'!B10</t>
        </is>
      </c>
    </row>
    <row r="300">
      <c r="B300" s="6" t="inlineStr">
        <is>
          <t>E47</t>
        </is>
      </c>
      <c r="C300" s="6" t="inlineStr">
        <is>
          <t>ERW query energy_companies</t>
        </is>
      </c>
      <c r="D300" s="6" t="inlineStr">
        <is>
          <t>https://github.com/SamuelEnrique/erw (energy_companies)</t>
        </is>
      </c>
      <c r="E300" s="6" t="inlineStr">
        <is>
          <t>2026-09-28</t>
        </is>
      </c>
      <c r="F300" s="6" t="inlineStr"/>
      <c r="G300" s="6" t="inlineStr">
        <is>
          <t>'Capital'!B9:H9; 'Capital'!B10</t>
        </is>
      </c>
    </row>
    <row r="301">
      <c r="B301" s="7" t="inlineStr">
        <is>
          <t>E48</t>
        </is>
      </c>
      <c r="C301" s="7" t="inlineStr">
        <is>
          <t>ERW query energy_companies</t>
        </is>
      </c>
      <c r="D301" s="7" t="inlineStr">
        <is>
          <t>https://github.com/SamuelEnrique/erw (energy_companies)</t>
        </is>
      </c>
      <c r="E301" s="7" t="inlineStr">
        <is>
          <t>2026-09-28</t>
        </is>
      </c>
      <c r="F301" s="7" t="inlineStr"/>
      <c r="G301" s="7" t="inlineStr">
        <is>
          <t>queried, not cited in a cell</t>
        </is>
      </c>
    </row>
    <row r="302">
      <c r="B302" s="6" t="inlineStr">
        <is>
          <t>E49</t>
        </is>
      </c>
      <c r="C302" s="6" t="inlineStr">
        <is>
          <t>ERW query energy_companies</t>
        </is>
      </c>
      <c r="D302" s="6" t="inlineStr">
        <is>
          <t>https://github.com/SamuelEnrique/erw (energy_companies)</t>
        </is>
      </c>
      <c r="E302" s="6" t="inlineStr">
        <is>
          <t>2026-09-28</t>
        </is>
      </c>
      <c r="F302" s="6" t="inlineStr"/>
      <c r="G302" s="6" t="inlineStr">
        <is>
          <t>queried, not cited in a cell</t>
        </is>
      </c>
    </row>
    <row r="303">
      <c r="B303" s="7" t="inlineStr">
        <is>
          <t>E50</t>
        </is>
      </c>
      <c r="C303" s="7" t="inlineStr">
        <is>
          <t>ERW query energy_companies</t>
        </is>
      </c>
      <c r="D303" s="7" t="inlineStr">
        <is>
          <t>https://github.com/SamuelEnrique/erw (energy_companies)</t>
        </is>
      </c>
      <c r="E303" s="7" t="inlineStr">
        <is>
          <t>2026-09-28</t>
        </is>
      </c>
      <c r="F303" s="7" t="inlineStr"/>
      <c r="G303" s="7" t="inlineStr">
        <is>
          <t>queried, not cited in a cell</t>
        </is>
      </c>
    </row>
    <row r="304">
      <c r="B304" s="6" t="inlineStr">
        <is>
          <t>E51</t>
        </is>
      </c>
      <c r="C304" s="6" t="inlineStr">
        <is>
          <t>ERW query energy_companies</t>
        </is>
      </c>
      <c r="D304" s="6" t="inlineStr">
        <is>
          <t>https://github.com/SamuelEnrique/erw (energy_companies)</t>
        </is>
      </c>
      <c r="E304" s="6" t="inlineStr">
        <is>
          <t>2026-09-28</t>
        </is>
      </c>
      <c r="F304" s="6" t="inlineStr"/>
      <c r="G304" s="6" t="inlineStr">
        <is>
          <t>queried, not cited in a cell</t>
        </is>
      </c>
    </row>
    <row r="305">
      <c r="B305" s="7" t="inlineStr">
        <is>
          <t>E52</t>
        </is>
      </c>
      <c r="C305" s="7" t="inlineStr">
        <is>
          <t>ERW query energy_companies</t>
        </is>
      </c>
      <c r="D305" s="7" t="inlineStr">
        <is>
          <t>https://github.com/SamuelEnrique/erw (energy_companies)</t>
        </is>
      </c>
      <c r="E305" s="7" t="inlineStr">
        <is>
          <t>2026-09-28</t>
        </is>
      </c>
      <c r="F305" s="7" t="inlineStr"/>
      <c r="G305" s="7" t="inlineStr">
        <is>
          <t>'Landscape'!B7:J7; 'Landscape'!B8:J8; 'Landscape'!B10:J10; 'Landscape'!B13</t>
        </is>
      </c>
    </row>
    <row r="306">
      <c r="B306" s="6" t="inlineStr">
        <is>
          <t>E53</t>
        </is>
      </c>
      <c r="C306" s="6" t="inlineStr">
        <is>
          <t>ERW query energy_companies</t>
        </is>
      </c>
      <c r="D306" s="6" t="inlineStr">
        <is>
          <t>https://github.com/SamuelEnrique/erw (energy_companies)</t>
        </is>
      </c>
      <c r="E306" s="6" t="inlineStr">
        <is>
          <t>2026-09-28</t>
        </is>
      </c>
      <c r="F306" s="6" t="inlineStr"/>
      <c r="G306" s="6" t="inlineStr">
        <is>
          <t>'Landscape'!B7:J7; 'Landscape'!B8:J8; 'Landscape'!B9:J9; 'Landscape'!B10:J10; 'Landscape'!B13</t>
        </is>
      </c>
    </row>
    <row r="307">
      <c r="B307" s="7" t="inlineStr">
        <is>
          <t>E54</t>
        </is>
      </c>
      <c r="C307" s="7" t="inlineStr">
        <is>
          <t>ERW query energy_companies</t>
        </is>
      </c>
      <c r="D307" s="7" t="inlineStr">
        <is>
          <t>https://github.com/SamuelEnrique/erw (energy_companies)</t>
        </is>
      </c>
      <c r="E307" s="7" t="inlineStr">
        <is>
          <t>2026-09-28</t>
        </is>
      </c>
      <c r="F307" s="7" t="inlineStr"/>
      <c r="G307" s="7" t="inlineStr">
        <is>
          <t>'Landscape'!B7:J7; 'Landscape'!B13</t>
        </is>
      </c>
    </row>
    <row r="308">
      <c r="B308" s="6" t="inlineStr">
        <is>
          <t>E55</t>
        </is>
      </c>
      <c r="C308" s="6" t="inlineStr">
        <is>
          <t>ERW query energy_companies</t>
        </is>
      </c>
      <c r="D308" s="6" t="inlineStr">
        <is>
          <t>https://github.com/SamuelEnrique/erw (energy_companies)</t>
        </is>
      </c>
      <c r="E308" s="6" t="inlineStr">
        <is>
          <t>2026-09-28</t>
        </is>
      </c>
      <c r="F308" s="6" t="inlineStr"/>
      <c r="G308" s="6" t="inlineStr">
        <is>
          <t>'Landscape'!B9:J9; 'Landscape'!B13</t>
        </is>
      </c>
    </row>
    <row r="309">
      <c r="B309" s="7" t="inlineStr">
        <is>
          <t>E56</t>
        </is>
      </c>
      <c r="C309" s="7" t="inlineStr">
        <is>
          <t>ERW query energy_companies</t>
        </is>
      </c>
      <c r="D309" s="7" t="inlineStr">
        <is>
          <t>https://github.com/SamuelEnrique/erw (energy_companies)</t>
        </is>
      </c>
      <c r="E309" s="7" t="inlineStr">
        <is>
          <t>2026-09-28</t>
        </is>
      </c>
      <c r="F309" s="7" t="inlineStr"/>
      <c r="G309" s="7" t="inlineStr">
        <is>
          <t>'Landscape'!B8:J8; 'Landscape'!B13</t>
        </is>
      </c>
    </row>
    <row r="310">
      <c r="B310" s="6" t="inlineStr">
        <is>
          <t>E57</t>
        </is>
      </c>
      <c r="C310" s="6" t="inlineStr">
        <is>
          <t>ERW query energy_companies</t>
        </is>
      </c>
      <c r="D310" s="6" t="inlineStr">
        <is>
          <t>https://github.com/SamuelEnrique/erw (energy_companies)</t>
        </is>
      </c>
      <c r="E310" s="6" t="inlineStr">
        <is>
          <t>2026-09-28</t>
        </is>
      </c>
      <c r="F310" s="6" t="inlineStr"/>
      <c r="G310" s="6" t="inlineStr">
        <is>
          <t>'Landscape'!B10:J10; 'Landscape'!B13</t>
        </is>
      </c>
    </row>
    <row r="311">
      <c r="B311" s="7" t="inlineStr">
        <is>
          <t>E58</t>
        </is>
      </c>
      <c r="C311" s="7" t="inlineStr">
        <is>
          <t>ERW query energy_companies</t>
        </is>
      </c>
      <c r="D311" s="7" t="inlineStr">
        <is>
          <t>https://github.com/SamuelEnrique/erw (energy_companies)</t>
        </is>
      </c>
      <c r="E311" s="7" t="inlineStr">
        <is>
          <t>2026-09-28</t>
        </is>
      </c>
      <c r="F311" s="7" t="inlineStr"/>
      <c r="G311" s="7" t="inlineStr">
        <is>
          <t>queried, not cited in a cell</t>
        </is>
      </c>
    </row>
  </sheetData>
  <mergeCells count="1">
    <mergeCell ref="B4:I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2026-09-28T20:50:10Z</dcterms:created>
  <dcterms:modified xmlns:dcterms="http://purl.org/dc/terms/" xmlns:xsi="http://www.w3.org/2001/XMLSchema-instance" xsi:type="dcterms:W3CDTF">2026-09-28T20:50:51Z</dcterms:modified>
</cp:coreProperties>
</file>